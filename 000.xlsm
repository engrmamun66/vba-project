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ook+Stock\Set-15\"/>
    </mc:Choice>
  </mc:AlternateContent>
  <xr:revisionPtr revIDLastSave="0" documentId="13_ncr:1_{95766154-9F3F-4DA5-9814-58278900CEEF}" xr6:coauthVersionLast="45" xr6:coauthVersionMax="45" xr10:uidLastSave="{00000000-0000-0000-0000-000000000000}"/>
  <bookViews>
    <workbookView showHorizontalScroll="0" showVerticalScroll="0" showSheetTabs="0" xWindow="20520" yWindow="0" windowWidth="11820" windowHeight="12930" activeTab="1" xr2:uid="{00000000-000D-0000-FFFF-FFFF00000000}"/>
  </bookViews>
  <sheets>
    <sheet name="Sheet1" sheetId="3" r:id="rId1"/>
    <sheet name="xTremeExcel - Kamal Girdher" sheetId="1" r:id="rId2"/>
    <sheet name="img_manage" sheetId="2" state="hidden" r:id="rId3"/>
  </sheets>
  <definedNames>
    <definedName name="addr">'xTremeExcel - Kamal Girdher'!$D$2</definedName>
    <definedName name="addr_2">'xTremeExcel - Kamal Girdher'!$B$1</definedName>
    <definedName name="file_Type_List">INDIRECT( "img_manage!$F$2:" &amp; "$F$" &amp; COUNTA(img_manage!$F$2:$F$200 ) +1   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2" l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C1" i="2"/>
  <c r="A2" i="2" s="1"/>
  <c r="A3" i="2" l="1"/>
  <c r="A1" i="2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J1" i="1" l="1"/>
  <c r="F12" i="2" l="1"/>
  <c r="F3" i="2"/>
  <c r="F2" i="2"/>
  <c r="E4" i="1" l="1"/>
  <c r="D18" i="1" l="1"/>
  <c r="D22" i="1"/>
  <c r="D26" i="1"/>
  <c r="D30" i="1"/>
  <c r="D34" i="1"/>
  <c r="D38" i="1"/>
  <c r="D42" i="1"/>
  <c r="D46" i="1"/>
  <c r="D20" i="1"/>
  <c r="D24" i="1"/>
  <c r="D32" i="1"/>
  <c r="D40" i="1"/>
  <c r="D21" i="1"/>
  <c r="D29" i="1"/>
  <c r="D33" i="1"/>
  <c r="D41" i="1"/>
  <c r="D19" i="1"/>
  <c r="D23" i="1"/>
  <c r="D27" i="1"/>
  <c r="D31" i="1"/>
  <c r="D35" i="1"/>
  <c r="D39" i="1"/>
  <c r="D43" i="1"/>
  <c r="D16" i="1"/>
  <c r="D28" i="1"/>
  <c r="D36" i="1"/>
  <c r="D44" i="1"/>
  <c r="D17" i="1"/>
  <c r="D25" i="1"/>
  <c r="D37" i="1"/>
  <c r="D45" i="1"/>
  <c r="D12" i="1"/>
  <c r="D13" i="1"/>
  <c r="D15" i="1"/>
  <c r="D14" i="1"/>
  <c r="E16" i="1"/>
  <c r="C47" i="1" l="1"/>
  <c r="C50" i="1"/>
  <c r="C51" i="1"/>
  <c r="C24" i="1"/>
  <c r="C11" i="1"/>
  <c r="C12" i="1"/>
  <c r="C25" i="1"/>
  <c r="C38" i="1"/>
  <c r="C42" i="1"/>
  <c r="C7" i="1"/>
  <c r="C43" i="1"/>
  <c r="C29" i="1"/>
  <c r="C15" i="1"/>
  <c r="C48" i="1"/>
  <c r="C16" i="1"/>
  <c r="C34" i="1"/>
  <c r="C17" i="1"/>
  <c r="C18" i="1"/>
  <c r="C19" i="1"/>
  <c r="C49" i="1"/>
  <c r="C13" i="1"/>
  <c r="C5" i="1"/>
  <c r="C23" i="1"/>
  <c r="C26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9" i="1"/>
  <c r="C35" i="1"/>
  <c r="C6" i="1"/>
  <c r="C37" i="1"/>
  <c r="C45" i="1"/>
  <c r="C30" i="1"/>
  <c r="C31" i="1"/>
  <c r="C27" i="1"/>
  <c r="C39" i="1"/>
  <c r="C8" i="1"/>
  <c r="C22" i="1"/>
  <c r="C20" i="1"/>
  <c r="C44" i="1"/>
  <c r="C41" i="1"/>
  <c r="C36" i="1"/>
  <c r="C21" i="1"/>
  <c r="C33" i="1"/>
  <c r="C32" i="1"/>
  <c r="C10" i="1"/>
  <c r="C14" i="1"/>
  <c r="C46" i="1"/>
  <c r="C28" i="1"/>
  <c r="C40" i="1"/>
  <c r="D11" i="1" l="1"/>
  <c r="L2" i="1"/>
  <c r="D9" i="1" l="1"/>
  <c r="D10" i="1"/>
  <c r="D7" i="1"/>
  <c r="D8" i="1"/>
  <c r="D5" i="1"/>
  <c r="D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Mamun</author>
  </authors>
  <commentList>
    <comment ref="B1" authorId="0" shapeId="0" xr:uid="{7CE2C7E3-31DD-4BE4-BFE0-8B82F6EF83AF}">
      <text>
        <r>
          <rPr>
            <b/>
            <sz val="9"/>
            <color indexed="81"/>
            <rFont val="Tahoma"/>
            <family val="2"/>
          </rPr>
          <t xml:space="preserve">Mamun:
=LEFT(CELL("filename"),FIND("[",  CELL("filename")  )-1)
</t>
        </r>
        <r>
          <rPr>
            <sz val="9"/>
            <color indexed="81"/>
            <rFont val="Tahoma"/>
            <family val="2"/>
          </rPr>
          <t xml:space="preserve">
https://www.rondebruin.nl/win/s3/win026.htm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Mamun</author>
  </authors>
  <commentList>
    <comment ref="C1" authorId="0" shapeId="0" xr:uid="{5C9AA9AB-56F2-4057-BCB5-9CAC6A6E85A1}">
      <text>
        <r>
          <rPr>
            <b/>
            <sz val="9"/>
            <color indexed="81"/>
            <rFont val="Tahoma"/>
            <family val="2"/>
          </rPr>
          <t>Mamun:</t>
        </r>
        <r>
          <rPr>
            <sz val="9"/>
            <color indexed="81"/>
            <rFont val="Tahoma"/>
            <family val="2"/>
          </rPr>
          <t xml:space="preserve">
Delete selected fomat data</t>
        </r>
      </text>
    </comment>
  </commentList>
</comments>
</file>

<file path=xl/sharedStrings.xml><?xml version="1.0" encoding="utf-8"?>
<sst xmlns="http://schemas.openxmlformats.org/spreadsheetml/2006/main" count="216" uniqueCount="32">
  <si>
    <t>Old File Name</t>
  </si>
  <si>
    <t>New File Name</t>
  </si>
  <si>
    <t xml:space="preserve"> </t>
  </si>
  <si>
    <t>Book_ID :</t>
  </si>
  <si>
    <t>Bangla_Name :</t>
  </si>
  <si>
    <t>English_Name :</t>
  </si>
  <si>
    <t>Regular Price</t>
  </si>
  <si>
    <t>Fixed Price</t>
  </si>
  <si>
    <t>Publisher :</t>
  </si>
  <si>
    <t>Edition :</t>
  </si>
  <si>
    <t>Printed Time:</t>
  </si>
  <si>
    <t>Number of Pages :</t>
  </si>
  <si>
    <t>Language :</t>
  </si>
  <si>
    <t>ISBN :</t>
  </si>
  <si>
    <t>Binding:</t>
  </si>
  <si>
    <t>ATE</t>
  </si>
  <si>
    <t>Category :</t>
  </si>
  <si>
    <t>Sort Description</t>
  </si>
  <si>
    <t>Weight</t>
  </si>
  <si>
    <t>Type</t>
  </si>
  <si>
    <t>file Type List</t>
  </si>
  <si>
    <t>---</t>
  </si>
  <si>
    <t>----</t>
  </si>
  <si>
    <t>C:\Users\Mamun\Pictures\Saved Pictures\New folder\</t>
  </si>
  <si>
    <t>*.jpg</t>
  </si>
  <si>
    <t>*.png</t>
  </si>
  <si>
    <t>*.mp3</t>
  </si>
  <si>
    <t>*.mp4</t>
  </si>
  <si>
    <t>*.xlsx</t>
  </si>
  <si>
    <t>*.xlsm</t>
  </si>
  <si>
    <t>D:\\</t>
  </si>
  <si>
    <t>Delete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</si>
</sst>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;[Red]0.00"/>
  </numFmts>
  <fonts count="18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249977111117893"/>
      <name val="Vardana"/>
    </font>
    <font>
      <sz val="28"/>
      <color theme="0"/>
      <name val="Bahnschrift SemiBold"/>
      <family val="2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0000"/>
      <name val="Segoe UI"/>
      <family val="2"/>
    </font>
    <font>
      <sz val="11"/>
      <color theme="8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5A5A5"/>
      </patternFill>
    </fill>
    <fill>
      <gradientFill degree="90">
        <stop position="0">
          <color theme="8" tint="-0.25098422193060094"/>
        </stop>
        <stop position="1">
          <color theme="0"/>
        </stop>
      </gradient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7" tint="0.79998168889431442"/>
      </left>
      <right style="thin">
        <color theme="7" tint="0.79998168889431442"/>
      </right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theme="8" tint="-0.499984740745262"/>
      </left>
      <right/>
      <top style="double">
        <color theme="8" tint="-0.499984740745262"/>
      </top>
      <bottom/>
      <diagonal/>
    </border>
    <border>
      <left/>
      <right style="double">
        <color theme="8" tint="-0.499984740745262"/>
      </right>
      <top style="double">
        <color theme="8" tint="-0.499984740745262"/>
      </top>
      <bottom/>
      <diagonal/>
    </border>
    <border>
      <left style="double">
        <color theme="8" tint="-0.499984740745262"/>
      </left>
      <right/>
      <top/>
      <bottom/>
      <diagonal/>
    </border>
    <border>
      <left/>
      <right style="double">
        <color theme="8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77111117893"/>
      </bottom>
      <diagonal/>
    </border>
    <border>
      <left/>
      <right/>
      <top style="thin">
        <color theme="0" tint="-0.499984740745262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double">
        <color theme="8" tint="-0.499984740745262"/>
      </left>
      <right/>
      <top/>
      <bottom style="thick">
        <color theme="8" tint="-0.249977111117893"/>
      </bottom>
      <diagonal/>
    </border>
    <border>
      <left/>
      <right style="double">
        <color theme="8" tint="-0.499984740745262"/>
      </right>
      <top/>
      <bottom style="thick">
        <color theme="8" tint="-0.249977111117893"/>
      </bottom>
      <diagonal/>
    </border>
    <border>
      <left style="double">
        <color theme="8" tint="-0.499984740745262"/>
      </left>
      <right/>
      <top/>
      <bottom style="thin">
        <color theme="8" tint="-0.249977111117893"/>
      </bottom>
      <diagonal/>
    </border>
    <border>
      <left style="thin">
        <color theme="8" tint="-0.249977111117893"/>
      </left>
      <right style="double">
        <color theme="8" tint="-0.499984740745262"/>
      </right>
      <top/>
      <bottom style="thin">
        <color theme="8" tint="-0.249977111117893"/>
      </bottom>
      <diagonal/>
    </border>
    <border>
      <left style="double">
        <color theme="8" tint="-0.499984740745262"/>
      </left>
      <right/>
      <top/>
      <bottom style="thick">
        <color theme="8" tint="-0.499984740745262"/>
      </bottom>
      <diagonal/>
    </border>
    <border>
      <left/>
      <right style="double">
        <color theme="8" tint="-0.499984740745262"/>
      </right>
      <top/>
      <bottom style="thick">
        <color theme="8" tint="-0.499984740745262"/>
      </bottom>
      <diagonal/>
    </border>
  </borders>
  <cellStyleXfs count="3">
    <xf numFmtId="0" fontId="0" fillId="0" borderId="0"/>
    <xf numFmtId="0" fontId="4" fillId="7" borderId="4" applyNumberFormat="0" applyAlignment="0" applyProtection="0"/>
    <xf numFmtId="0" fontId="12" fillId="9" borderId="0" applyNumberFormat="0" applyBorder="0" applyAlignment="0" applyProtection="0"/>
  </cellStyleXfs>
  <cellXfs count="69">
    <xf numFmtId="0" fontId="0" fillId="0" borderId="0" xfId="0"/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ont="1" applyAlignment="1" applyProtection="1">
      <alignment horizont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2" fillId="0" borderId="1" xfId="0" applyFont="1" applyBorder="1" applyProtection="1">
      <protection locked="0"/>
    </xf>
    <xf numFmtId="0" fontId="8" fillId="6" borderId="2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vertical="center" wrapText="1"/>
    </xf>
    <xf numFmtId="49" fontId="8" fillId="6" borderId="2" xfId="0" applyNumberFormat="1" applyFont="1" applyFill="1" applyBorder="1" applyAlignment="1">
      <alignment horizontal="center" vertical="center" wrapText="1"/>
    </xf>
    <xf numFmtId="49" fontId="8" fillId="6" borderId="2" xfId="0" applyNumberFormat="1" applyFont="1" applyFill="1" applyBorder="1" applyAlignment="1">
      <alignment horizontal="left" vertical="center" wrapText="1"/>
    </xf>
    <xf numFmtId="164" fontId="8" fillId="6" borderId="2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3" xfId="0" applyBorder="1"/>
    <xf numFmtId="49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left"/>
    </xf>
    <xf numFmtId="164" fontId="0" fillId="0" borderId="3" xfId="0" applyNumberFormat="1" applyBorder="1" applyAlignment="1">
      <alignment horizontal="center"/>
    </xf>
    <xf numFmtId="0" fontId="9" fillId="0" borderId="3" xfId="0" applyFont="1" applyBorder="1"/>
    <xf numFmtId="49" fontId="9" fillId="0" borderId="3" xfId="0" applyNumberFormat="1" applyFont="1" applyBorder="1"/>
    <xf numFmtId="0" fontId="9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9" fontId="0" fillId="0" borderId="3" xfId="0" applyNumberFormat="1" applyBorder="1"/>
    <xf numFmtId="0" fontId="0" fillId="0" borderId="0" xfId="0" applyFont="1" applyAlignment="1" applyProtection="1">
      <alignment horizontal="center" vertical="center"/>
      <protection locked="0"/>
    </xf>
    <xf numFmtId="0" fontId="0" fillId="5" borderId="0" xfId="0" applyFont="1" applyFill="1" applyBorder="1" applyAlignment="1" applyProtection="1">
      <alignment horizontal="center" vertical="center"/>
      <protection locked="0"/>
    </xf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5" fillId="2" borderId="7" xfId="0" applyFont="1" applyFill="1" applyBorder="1" applyAlignment="1" applyProtection="1">
      <alignment horizontal="right"/>
      <protection locked="0"/>
    </xf>
    <xf numFmtId="0" fontId="11" fillId="0" borderId="0" xfId="0" applyFont="1" applyProtection="1">
      <protection locked="0"/>
    </xf>
    <xf numFmtId="2" fontId="0" fillId="8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5" borderId="0" xfId="0" applyFont="1" applyFill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0" fillId="8" borderId="0" xfId="0" applyFont="1" applyFill="1" applyAlignment="1" applyProtection="1">
      <alignment horizontal="left" vertical="center"/>
      <protection locked="0"/>
    </xf>
    <xf numFmtId="0" fontId="12" fillId="9" borderId="12" xfId="2" applyBorder="1"/>
    <xf numFmtId="0" fontId="0" fillId="3" borderId="7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4" xfId="0" applyFill="1" applyBorder="1" applyProtection="1">
      <protection locked="0"/>
    </xf>
    <xf numFmtId="0" fontId="0" fillId="3" borderId="0" xfId="0" applyFill="1"/>
    <xf numFmtId="0" fontId="0" fillId="0" borderId="0" xfId="0" quotePrefix="1"/>
    <xf numFmtId="0" fontId="0" fillId="3" borderId="15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center"/>
      <protection locked="0"/>
    </xf>
    <xf numFmtId="11" fontId="2" fillId="0" borderId="1" xfId="0" applyNumberFormat="1" applyFont="1" applyBorder="1" applyProtection="1"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0" fillId="10" borderId="3" xfId="0" applyFill="1" applyBorder="1" applyAlignment="1">
      <alignment horizontal="left"/>
    </xf>
    <xf numFmtId="0" fontId="17" fillId="2" borderId="7" xfId="0" applyFont="1" applyFill="1" applyBorder="1" applyProtection="1">
      <protection locked="0"/>
    </xf>
    <xf numFmtId="0" fontId="10" fillId="11" borderId="0" xfId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3" borderId="9" xfId="0" applyFont="1" applyFill="1" applyBorder="1" applyAlignment="1" applyProtection="1">
      <alignment horizontal="left" vertical="center"/>
      <protection locked="0"/>
    </xf>
    <xf numFmtId="0" fontId="2" fillId="3" borderId="10" xfId="0" applyFont="1" applyFill="1" applyBorder="1" applyAlignment="1" applyProtection="1">
      <alignment horizontal="left" vertical="center"/>
      <protection locked="0"/>
    </xf>
    <xf numFmtId="0" fontId="2" fillId="3" borderId="11" xfId="0" applyFont="1" applyFill="1" applyBorder="1" applyAlignment="1" applyProtection="1">
      <alignment horizontal="left" vertical="center"/>
      <protection locked="0"/>
    </xf>
    <xf numFmtId="0" fontId="6" fillId="8" borderId="5" xfId="0" applyFont="1" applyFill="1" applyBorder="1" applyAlignment="1" applyProtection="1">
      <alignment horizontal="center" vertical="center"/>
      <protection locked="0"/>
    </xf>
    <xf numFmtId="0" fontId="6" fillId="8" borderId="6" xfId="0" applyFont="1" applyFill="1" applyBorder="1" applyAlignment="1" applyProtection="1">
      <alignment horizontal="center" vertical="center"/>
      <protection locked="0"/>
    </xf>
    <xf numFmtId="0" fontId="6" fillId="8" borderId="7" xfId="0" applyFont="1" applyFill="1" applyBorder="1" applyAlignment="1" applyProtection="1">
      <alignment horizontal="center" vertical="center"/>
      <protection locked="0"/>
    </xf>
    <xf numFmtId="0" fontId="6" fillId="8" borderId="8" xfId="0" applyFont="1" applyFill="1" applyBorder="1" applyAlignment="1" applyProtection="1">
      <alignment horizontal="center" vertical="center"/>
      <protection locked="0"/>
    </xf>
    <xf numFmtId="0" fontId="7" fillId="2" borderId="7" xfId="0" applyFont="1" applyFill="1" applyBorder="1" applyAlignment="1" applyProtection="1">
      <alignment horizontal="center"/>
      <protection locked="0"/>
    </xf>
    <xf numFmtId="0" fontId="7" fillId="2" borderId="8" xfId="0" applyFont="1" applyFill="1" applyBorder="1" applyAlignment="1" applyProtection="1">
      <alignment horizontal="center"/>
      <protection locked="0"/>
    </xf>
    <xf numFmtId="0" fontId="7" fillId="2" borderId="17" xfId="0" applyFont="1" applyFill="1" applyBorder="1" applyAlignment="1" applyProtection="1">
      <alignment horizontal="center"/>
      <protection locked="0"/>
    </xf>
    <xf numFmtId="0" fontId="7" fillId="2" borderId="18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left" vertical="center"/>
      <protection locked="0"/>
    </xf>
  </cellXfs>
  <cellStyles count="3">
    <cellStyle name="40% - Accent6" xfId="2" builtinId="51"/>
    <cellStyle name="Check Cell" xfId="1" builtinId="23"/>
    <cellStyle name="Normal" xfId="0" builtinId="0"/>
  </cellStyles>
  <dxfs count="22">
    <dxf>
      <fill>
        <patternFill>
          <bgColor theme="8" tint="0.3999450666829432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8" tint="0.3999450666829432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lor rgb="FF00B050"/>
      </font>
    </dxf>
    <dxf>
      <font>
        <strike/>
        <color rgb="FFFF0000"/>
      </font>
    </dxf>
    <dxf>
      <font>
        <color rgb="FF00B050"/>
      </font>
    </dxf>
    <dxf>
      <font>
        <strike/>
        <u val="none"/>
        <color rgb="FFFF0000"/>
      </font>
      <numFmt numFmtId="0" formatCode="General"/>
    </dxf>
    <dxf>
      <fill>
        <patternFill>
          <bgColor rgb="FFABDB77"/>
        </patternFill>
      </fill>
    </dxf>
    <dxf>
      <font>
        <color auto="1"/>
      </font>
      <fill>
        <patternFill>
          <bgColor rgb="FF00B05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gradientFill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 patternType="solid">
          <fgColor auto="1"/>
          <bgColor theme="0" tint="-4.9989318521683403E-2"/>
        </patternFill>
      </fill>
    </dxf>
    <dxf>
      <fill>
        <patternFill patternType="solid">
          <fgColor auto="1"/>
          <bgColor theme="0" tint="-4.9989318521683403E-2"/>
        </patternFill>
      </fill>
    </dxf>
    <dxf>
      <fill>
        <patternFill patternType="solid">
          <fgColor auto="1"/>
          <bgColor theme="0" tint="-4.9989318521683403E-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ABDB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2" fmlaLink="$F$4" max="30000" page="10" val="39"/>
</file>

<file path=xl/ctrlProps/ctrlProp6.xml><?xml version="1.0" encoding="utf-8"?>
<formControlPr xmlns="http://schemas.microsoft.com/office/spreadsheetml/2009/9/main" objectType="CheckBox" checked="Checked" fmlaLink="$D$4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E$15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checked="Checked" fmlaLink="$K$16" lockText="1" noThreeD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Label" lockText="1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://wegemaluch.pl/index.php?option=com_content&amp;view=category&amp;layout=blog&amp;id=21&amp;Itemid=310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s://gamebanana.com/sprays/70759" TargetMode="External"/><Relationship Id="rId11" Type="http://schemas.openxmlformats.org/officeDocument/2006/relationships/image" Target="../media/image9.png"/><Relationship Id="rId5" Type="http://schemas.openxmlformats.org/officeDocument/2006/relationships/image" Target="../media/image4.png"/><Relationship Id="rId10" Type="http://schemas.openxmlformats.org/officeDocument/2006/relationships/image" Target="../media/image8.png"/><Relationship Id="rId4" Type="http://schemas.openxmlformats.org/officeDocument/2006/relationships/hyperlink" Target="http://www.freestockphotos.biz/stockphoto/15106" TargetMode="External"/><Relationship Id="rId9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1619250</xdr:colOff>
      <xdr:row>0</xdr:row>
      <xdr:rowOff>38100</xdr:rowOff>
    </xdr:from>
    <xdr:to>
      <xdr:col>1</xdr:col>
      <xdr:colOff>2238375</xdr:colOff>
      <xdr:row>0</xdr:row>
      <xdr:rowOff>276225</xdr:rowOff>
    </xdr:to>
    <xdr:sp macro="[0]!activeimgeMan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66950" y="38100"/>
          <a:ext cx="619125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NEXT</a:t>
          </a:r>
        </a:p>
      </xdr:txBody>
    </xdr:sp>
    <xdr:clientData/>
  </xdr:twoCellAnchor>
  <xdr:twoCellAnchor>
    <xdr:from>
      <xdr:col>1</xdr:col>
      <xdr:colOff>19050</xdr:colOff>
      <xdr:row>0</xdr:row>
      <xdr:rowOff>47625</xdr:rowOff>
    </xdr:from>
    <xdr:to>
      <xdr:col>1</xdr:col>
      <xdr:colOff>1476375</xdr:colOff>
      <xdr:row>0</xdr:row>
      <xdr:rowOff>285750</xdr:rowOff>
    </xdr:to>
    <xdr:sp macro="[0]!pasteAsValu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47625"/>
          <a:ext cx="1457325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Paste &amp; Save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3</xdr:row>
          <xdr:rowOff>190500</xdr:rowOff>
        </xdr:from>
        <xdr:to>
          <xdr:col>6</xdr:col>
          <xdr:colOff>9525</xdr:colOff>
          <xdr:row>5</xdr:row>
          <xdr:rowOff>180975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9525</xdr:colOff>
      <xdr:row>3</xdr:row>
      <xdr:rowOff>1</xdr:rowOff>
    </xdr:from>
    <xdr:to>
      <xdr:col>3</xdr:col>
      <xdr:colOff>438150</xdr:colOff>
      <xdr:row>3</xdr:row>
      <xdr:rowOff>180975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923925" y="600076"/>
          <a:ext cx="428625" cy="180974"/>
          <a:chOff x="1552575" y="9526"/>
          <a:chExt cx="333375" cy="1905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552575" y="9526"/>
            <a:ext cx="333375" cy="190500"/>
          </a:xfrm>
          <a:prstGeom prst="roundRect">
            <a:avLst/>
          </a:prstGeom>
          <a:solidFill>
            <a:schemeClr val="accent3">
              <a:lumMod val="75000"/>
            </a:schemeClr>
          </a:solidFill>
          <a:ln>
            <a:solidFill>
              <a:srgbClr val="FFFF00"/>
            </a:solidFill>
          </a:ln>
          <a:effectLst/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Check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100-000010040000}"/>
                  </a:ext>
                </a:extLst>
              </xdr:cNvPr>
              <xdr:cNvSpPr/>
            </xdr:nvSpPr>
            <xdr:spPr bwMode="auto">
              <a:xfrm>
                <a:off x="1637242" y="28622"/>
                <a:ext cx="190500" cy="1619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190500</xdr:colOff>
      <xdr:row>4</xdr:row>
      <xdr:rowOff>73025</xdr:rowOff>
    </xdr:from>
    <xdr:to>
      <xdr:col>5</xdr:col>
      <xdr:colOff>123825</xdr:colOff>
      <xdr:row>5</xdr:row>
      <xdr:rowOff>104775</xdr:rowOff>
    </xdr:to>
    <xdr:sp macro="[0]!set_final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581150" y="273050"/>
          <a:ext cx="895350" cy="231775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>
          <a:ext uri="{AF507438-7753-43E0-B8FC-AC1667EBCBE1}">
            <a14:hiddenEffects xmlns:a14="http://schemas.microsoft.com/office/drawing/2010/main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bg1"/>
              </a:solidFill>
            </a:rPr>
            <a:t>Re-copy</a:t>
          </a:r>
        </a:p>
      </xdr:txBody>
    </xdr:sp>
    <xdr:clientData/>
  </xdr:twoCellAnchor>
  <xdr:twoCellAnchor>
    <xdr:from>
      <xdr:col>9</xdr:col>
      <xdr:colOff>319088</xdr:colOff>
      <xdr:row>11</xdr:row>
      <xdr:rowOff>88900</xdr:rowOff>
    </xdr:from>
    <xdr:to>
      <xdr:col>10</xdr:col>
      <xdr:colOff>534988</xdr:colOff>
      <xdr:row>12</xdr:row>
      <xdr:rowOff>172720</xdr:rowOff>
    </xdr:to>
    <xdr:grpSp>
      <xdr:nvGrpSpPr>
        <xdr:cNvPr id="36" name="btn_clearDataRight_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4852988" y="2232025"/>
          <a:ext cx="1006475" cy="274320"/>
          <a:chOff x="1685925" y="1603375"/>
          <a:chExt cx="1143000" cy="314325"/>
        </a:xfrm>
        <a:solidFill>
          <a:srgbClr val="FF0000"/>
        </a:solidFill>
      </xdr:grpSpPr>
      <xdr:sp macro="[0]!Group35_Click" textlink="">
        <xdr:nvSpPr>
          <xdr:cNvPr id="37" name="Rectangle: Rounded Corners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685925" y="1603375"/>
            <a:ext cx="1143000" cy="314325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1745660" y="1628775"/>
                <a:ext cx="1028701" cy="2571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Data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319088</xdr:colOff>
      <xdr:row>9</xdr:row>
      <xdr:rowOff>34925</xdr:rowOff>
    </xdr:from>
    <xdr:to>
      <xdr:col>10</xdr:col>
      <xdr:colOff>534988</xdr:colOff>
      <xdr:row>10</xdr:row>
      <xdr:rowOff>118745</xdr:rowOff>
    </xdr:to>
    <xdr:grpSp>
      <xdr:nvGrpSpPr>
        <xdr:cNvPr id="39" name="btn_deleteImages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pSpPr/>
      </xdr:nvGrpSpPr>
      <xdr:grpSpPr>
        <a:xfrm>
          <a:off x="4852988" y="1797050"/>
          <a:ext cx="1006475" cy="274320"/>
          <a:chOff x="1685925" y="1254125"/>
          <a:chExt cx="1143000" cy="314325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685925" y="1254125"/>
            <a:ext cx="1143000" cy="314325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100-000015040000}"/>
                  </a:ext>
                </a:extLst>
              </xdr:cNvPr>
              <xdr:cNvSpPr/>
            </xdr:nvSpPr>
            <xdr:spPr bwMode="auto">
              <a:xfrm>
                <a:off x="1745660" y="1276350"/>
                <a:ext cx="1028701" cy="2571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 Images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0</xdr:col>
      <xdr:colOff>28575</xdr:colOff>
      <xdr:row>0</xdr:row>
      <xdr:rowOff>257175</xdr:rowOff>
    </xdr:from>
    <xdr:to>
      <xdr:col>1</xdr:col>
      <xdr:colOff>419100</xdr:colOff>
      <xdr:row>2</xdr:row>
      <xdr:rowOff>19050</xdr:rowOff>
    </xdr:to>
    <xdr:sp macro="[0]!browseFolder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28575" y="257175"/>
          <a:ext cx="847725" cy="22860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>
          <a:ext uri="{AF507438-7753-43E0-B8FC-AC1667EBCBE1}">
            <a14:hiddenEffects xmlns:a14="http://schemas.microsoft.com/office/drawing/2010/main">
              <a:effectLst>
                <a:outerShdw blurRad="76200" dist="12700" dir="2700000" sy="-23000" kx="-800400" algn="bl" rotWithShape="0">
                  <a:prstClr val="black">
                    <a:alpha val="20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Source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</xdr:row>
          <xdr:rowOff>104775</xdr:rowOff>
        </xdr:from>
        <xdr:to>
          <xdr:col>5</xdr:col>
          <xdr:colOff>523875</xdr:colOff>
          <xdr:row>5</xdr:row>
          <xdr:rowOff>114300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285750</xdr:colOff>
      <xdr:row>3</xdr:row>
      <xdr:rowOff>19050</xdr:rowOff>
    </xdr:from>
    <xdr:to>
      <xdr:col>5</xdr:col>
      <xdr:colOff>752476</xdr:colOff>
      <xdr:row>3</xdr:row>
      <xdr:rowOff>171450</xdr:rowOff>
    </xdr:to>
    <xdr:sp macro="[0]!setMax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2447925" y="619125"/>
          <a:ext cx="466726" cy="1524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>
          <a:ext uri="{AF507438-7753-43E0-B8FC-AC1667EBCBE1}">
            <a14:hiddenEffects xmlns:a14="http://schemas.microsoft.com/office/drawing/2010/main"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solidFill>
                <a:schemeClr val="bg1"/>
              </a:solidFill>
            </a:rPr>
            <a:t>MAX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640080</xdr:colOff>
      <xdr:row>17</xdr:row>
      <xdr:rowOff>135255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5324475" y="2990850"/>
          <a:ext cx="640080" cy="449580"/>
          <a:chOff x="5343525" y="2990850"/>
          <a:chExt cx="640080" cy="449580"/>
        </a:xfrm>
      </xdr:grpSpPr>
      <xdr:sp macro="[0]!Copy_Certain_Files_In_Folder" textlink="">
        <xdr:nvSpPr>
          <xdr:cNvPr id="41" name="Rectangle: Rounded Corners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/>
        </xdr:nvSpPr>
        <xdr:spPr>
          <a:xfrm>
            <a:off x="5343525" y="2990850"/>
            <a:ext cx="640080" cy="182880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  <a:extLst>
            <a:ext uri="{AF507438-7753-43E0-B8FC-AC1667EBCBE1}">
              <a14:hiddenEffects xmlns:a14="http://schemas.microsoft.com/office/drawing/2010/main">
                <a:effectLst>
                  <a:outerShdw blurRad="76200" dist="12700" dir="2700000" sy="-23000" kx="-800400" algn="bl" rotWithShape="0">
                    <a:prstClr val="black">
                      <a:alpha val="20000"/>
                    </a:prstClr>
                  </a:outerShdw>
                </a:effectLst>
              </a14:hiddenEffects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/>
              <a:t>Copy</a:t>
            </a:r>
            <a:r>
              <a:rPr lang="en-US" sz="900" baseline="0"/>
              <a:t> All</a:t>
            </a:r>
            <a:endParaRPr lang="en-US" sz="900"/>
          </a:p>
        </xdr:txBody>
      </xdr:sp>
      <xdr:sp macro="[0]!Move_Certain_Files_To_New_Folder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5343525" y="3257550"/>
            <a:ext cx="640080" cy="182880"/>
          </a:xfrm>
          <a:prstGeom prst="round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  <a:extLst>
            <a:ext uri="{AF507438-7753-43E0-B8FC-AC1667EBCBE1}">
              <a14:hiddenEffects xmlns:a14="http://schemas.microsoft.com/office/drawing/2010/main">
                <a:effectLst>
                  <a:outerShdw blurRad="76200" dist="12700" dir="2700000" sy="-23000" kx="-800400" algn="bl" rotWithShape="0">
                    <a:prstClr val="black">
                      <a:alpha val="20000"/>
                    </a:prstClr>
                  </a:outerShdw>
                </a:effectLst>
              </a14:hiddenEffects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/>
              <a:t>Move</a:t>
            </a:r>
            <a:r>
              <a:rPr lang="en-US" sz="900" baseline="0"/>
              <a:t> All</a:t>
            </a:r>
            <a:endParaRPr lang="en-US" sz="900"/>
          </a:p>
        </xdr:txBody>
      </xdr:sp>
    </xdr:grpSp>
    <xdr:clientData/>
  </xdr:twoCellAnchor>
  <xdr:twoCellAnchor editAs="oneCell">
    <xdr:from>
      <xdr:col>9</xdr:col>
      <xdr:colOff>57149</xdr:colOff>
      <xdr:row>16</xdr:row>
      <xdr:rowOff>142875</xdr:rowOff>
    </xdr:from>
    <xdr:to>
      <xdr:col>9</xdr:col>
      <xdr:colOff>257646</xdr:colOff>
      <xdr:row>17</xdr:row>
      <xdr:rowOff>152872</xdr:rowOff>
    </xdr:to>
    <xdr:pic macro="[0]!delete_Certain_Files_In_Folder"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591049" y="3257550"/>
          <a:ext cx="200497" cy="200497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</xdr:pic>
    <xdr:clientData/>
  </xdr:twoCellAnchor>
  <xdr:twoCellAnchor editAs="oneCell">
    <xdr:from>
      <xdr:col>9</xdr:col>
      <xdr:colOff>295276</xdr:colOff>
      <xdr:row>0</xdr:row>
      <xdr:rowOff>266700</xdr:rowOff>
    </xdr:from>
    <xdr:to>
      <xdr:col>10</xdr:col>
      <xdr:colOff>419101</xdr:colOff>
      <xdr:row>2</xdr:row>
      <xdr:rowOff>28575</xdr:rowOff>
    </xdr:to>
    <xdr:sp macro="[0]!FIre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4829176" y="266700"/>
          <a:ext cx="914400" cy="22860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>
          <a:ext uri="{AF507438-7753-43E0-B8FC-AC1667EBCBE1}">
            <a14:hiddenEffects xmlns:a14="http://schemas.microsoft.com/office/drawing/2010/main">
              <a:effectLst>
                <a:outerShdw blurRad="76200" dist="12700" dir="2700000" sy="-23000" kx="-800400" algn="bl" rotWithShape="0">
                  <a:prstClr val="black">
                    <a:alpha val="20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Destination</a:t>
          </a:r>
        </a:p>
      </xdr:txBody>
    </xdr:sp>
    <xdr:clientData/>
  </xdr:twoCellAnchor>
  <xdr:twoCellAnchor>
    <xdr:from>
      <xdr:col>10</xdr:col>
      <xdr:colOff>438150</xdr:colOff>
      <xdr:row>1</xdr:row>
      <xdr:rowOff>9524</xdr:rowOff>
    </xdr:from>
    <xdr:to>
      <xdr:col>10</xdr:col>
      <xdr:colOff>640808</xdr:colOff>
      <xdr:row>2</xdr:row>
      <xdr:rowOff>10816</xdr:rowOff>
    </xdr:to>
    <xdr:grpSp>
      <xdr:nvGrpSpPr>
        <xdr:cNvPr id="17" name="TrickBox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5762625" y="285749"/>
          <a:ext cx="202658" cy="191792"/>
          <a:chOff x="5772150" y="285749"/>
          <a:chExt cx="202658" cy="191792"/>
        </a:xfrm>
      </xdr:grpSpPr>
      <xdr:pic macro="[0]!break_link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4"/>
              </a:ext>
            </a:extLst>
          </a:blip>
          <a:stretch>
            <a:fillRect/>
          </a:stretch>
        </xdr:blipFill>
        <xdr:spPr>
          <a:xfrm rot="10800000" flipV="1">
            <a:off x="5791199" y="295274"/>
            <a:ext cx="183609" cy="182267"/>
          </a:xfrm>
          <a:prstGeom prst="rect">
            <a:avLst/>
          </a:prstGeom>
          <a:effectLst/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Check Box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/>
            </xdr:nvSpPr>
            <xdr:spPr bwMode="auto">
              <a:xfrm>
                <a:off x="5772150" y="285749"/>
                <a:ext cx="190501" cy="1905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66675</xdr:rowOff>
        </xdr:from>
        <xdr:to>
          <xdr:col>9</xdr:col>
          <xdr:colOff>647700</xdr:colOff>
          <xdr:row>16</xdr:row>
          <xdr:rowOff>76200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with Delete?</a:t>
              </a:r>
            </a:p>
          </xdr:txBody>
        </xdr:sp>
        <xdr:clientData/>
      </xdr:twoCellAnchor>
    </mc:Choice>
    <mc:Fallback/>
  </mc:AlternateContent>
  <xdr:twoCellAnchor>
    <xdr:from>
      <xdr:col>16</xdr:col>
      <xdr:colOff>409575</xdr:colOff>
      <xdr:row>4</xdr:row>
      <xdr:rowOff>161925</xdr:rowOff>
    </xdr:from>
    <xdr:to>
      <xdr:col>18</xdr:col>
      <xdr:colOff>104775</xdr:colOff>
      <xdr:row>10</xdr:row>
      <xdr:rowOff>104775</xdr:rowOff>
    </xdr:to>
    <xdr:grpSp>
      <xdr:nvGrpSpPr>
        <xdr:cNvPr id="65" name="help_group" hidden="1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GrpSpPr/>
      </xdr:nvGrpSpPr>
      <xdr:grpSpPr>
        <a:xfrm>
          <a:off x="10382250" y="962025"/>
          <a:ext cx="914400" cy="1095375"/>
          <a:chOff x="10382250" y="962025"/>
          <a:chExt cx="914400" cy="1095375"/>
        </a:xfrm>
      </xdr:grpSpPr>
      <xdr:sp macro="" textlink="">
        <xdr:nvSpPr>
          <xdr:cNvPr id="64" name="Rectangle 63" hidden="1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0391775" y="962025"/>
            <a:ext cx="904875" cy="523875"/>
          </a:xfrm>
          <a:prstGeom prst="rect">
            <a:avLst/>
          </a:prstGeom>
          <a:effectLst/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1" name="Rectangle 100" hidden="1">
            <a:extLst>
              <a:ext uri="{FF2B5EF4-FFF2-40B4-BE49-F238E27FC236}">
                <a16:creationId xmlns:a16="http://schemas.microsoft.com/office/drawing/2014/main" id="{00000000-0008-0000-0100-000065000000}"/>
              </a:ext>
            </a:extLst>
          </xdr:cNvPr>
          <xdr:cNvSpPr/>
        </xdr:nvSpPr>
        <xdr:spPr>
          <a:xfrm>
            <a:off x="10382250" y="1533525"/>
            <a:ext cx="904875" cy="523875"/>
          </a:xfrm>
          <a:prstGeom prst="rect">
            <a:avLst/>
          </a:prstGeom>
          <a:effectLst/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0</xdr:row>
      <xdr:rowOff>66675</xdr:rowOff>
    </xdr:from>
    <xdr:to>
      <xdr:col>16</xdr:col>
      <xdr:colOff>609599</xdr:colOff>
      <xdr:row>25</xdr:row>
      <xdr:rowOff>9525</xdr:rowOff>
    </xdr:to>
    <xdr:grpSp>
      <xdr:nvGrpSpPr>
        <xdr:cNvPr id="243" name="Group 242" hidden="1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GrpSpPr/>
      </xdr:nvGrpSpPr>
      <xdr:grpSpPr>
        <a:xfrm>
          <a:off x="0" y="66675"/>
          <a:ext cx="10582274" cy="4791075"/>
          <a:chOff x="0" y="66675"/>
          <a:chExt cx="10582274" cy="4791075"/>
        </a:xfrm>
      </xdr:grpSpPr>
      <xdr:grpSp>
        <xdr:nvGrpSpPr>
          <xdr:cNvPr id="77" name="Group 76" hidden="1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GrpSpPr/>
        </xdr:nvGrpSpPr>
        <xdr:grpSpPr>
          <a:xfrm>
            <a:off x="5567364" y="1371600"/>
            <a:ext cx="1066517" cy="1981200"/>
            <a:chOff x="5809566" y="1371600"/>
            <a:chExt cx="825455" cy="1981200"/>
          </a:xfrm>
        </xdr:grpSpPr>
        <xdr:cxnSp macro="">
          <xdr:nvCxnSpPr>
            <xdr:cNvPr id="61" name="Straight Arrow Connector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CxnSpPr/>
          </xdr:nvCxnSpPr>
          <xdr:spPr>
            <a:xfrm>
              <a:off x="5809566" y="1371600"/>
              <a:ext cx="810926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04" name="Straight Arrow Connector 103" hidden="1">
              <a:extLst>
                <a:ext uri="{FF2B5EF4-FFF2-40B4-BE49-F238E27FC236}">
                  <a16:creationId xmlns:a16="http://schemas.microsoft.com/office/drawing/2014/main" id="{00000000-0008-0000-0100-000068000000}"/>
                </a:ext>
              </a:extLst>
            </xdr:cNvPr>
            <xdr:cNvCxnSpPr/>
          </xdr:nvCxnSpPr>
          <xdr:spPr>
            <a:xfrm>
              <a:off x="5964711" y="1676400"/>
              <a:ext cx="670192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07" name="Straight Arrow Connector 106" hidden="1">
              <a:extLst>
                <a:ext uri="{FF2B5EF4-FFF2-40B4-BE49-F238E27FC236}">
                  <a16:creationId xmlns:a16="http://schemas.microsoft.com/office/drawing/2014/main" id="{00000000-0008-0000-0100-00006B000000}"/>
                </a:ext>
              </a:extLst>
            </xdr:cNvPr>
            <xdr:cNvCxnSpPr/>
          </xdr:nvCxnSpPr>
          <xdr:spPr>
            <a:xfrm>
              <a:off x="5965910" y="2057400"/>
              <a:ext cx="669111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08" name="Straight Arrow Connector 107" hidden="1">
              <a:extLst>
                <a:ext uri="{FF2B5EF4-FFF2-40B4-BE49-F238E27FC236}">
                  <a16:creationId xmlns:a16="http://schemas.microsoft.com/office/drawing/2014/main" id="{00000000-0008-0000-0100-00006C000000}"/>
                </a:ext>
              </a:extLst>
            </xdr:cNvPr>
            <xdr:cNvCxnSpPr/>
          </xdr:nvCxnSpPr>
          <xdr:spPr>
            <a:xfrm>
              <a:off x="5957206" y="2476500"/>
              <a:ext cx="676983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09" name="Straight Arrow Connector 108" hidden="1">
              <a:extLst>
                <a:ext uri="{FF2B5EF4-FFF2-40B4-BE49-F238E27FC236}">
                  <a16:creationId xmlns:a16="http://schemas.microsoft.com/office/drawing/2014/main" id="{00000000-0008-0000-0100-00006D000000}"/>
                </a:ext>
              </a:extLst>
            </xdr:cNvPr>
            <xdr:cNvCxnSpPr/>
          </xdr:nvCxnSpPr>
          <xdr:spPr>
            <a:xfrm>
              <a:off x="6120460" y="3067050"/>
              <a:ext cx="508095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10" name="Straight Arrow Connector 109" hidden="1">
              <a:extLst>
                <a:ext uri="{FF2B5EF4-FFF2-40B4-BE49-F238E27FC236}">
                  <a16:creationId xmlns:a16="http://schemas.microsoft.com/office/drawing/2014/main" id="{00000000-0008-0000-0100-00006E000000}"/>
                </a:ext>
              </a:extLst>
            </xdr:cNvPr>
            <xdr:cNvCxnSpPr/>
          </xdr:nvCxnSpPr>
          <xdr:spPr>
            <a:xfrm>
              <a:off x="6120460" y="3352800"/>
              <a:ext cx="508095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86" name="Label 62" hidden="1">
                <a:extLst>
                  <a:ext uri="{63B3BB69-23CF-44E3-9099-C40C66FF867C}">
                    <a14:compatExt spid="_x0000_s1086"/>
                  </a:ext>
                  <a:ext uri="{FF2B5EF4-FFF2-40B4-BE49-F238E27FC236}">
                    <a16:creationId xmlns:a16="http://schemas.microsoft.com/office/drawing/2014/main" id="{00000000-0008-0000-0100-00003E040000}"/>
                  </a:ext>
                </a:extLst>
              </xdr:cNvPr>
              <xdr:cNvSpPr/>
            </xdr:nvSpPr>
            <xdr:spPr bwMode="auto">
              <a:xfrm>
                <a:off x="6686550" y="1285875"/>
                <a:ext cx="1228725" cy="1905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Go Data Entry Page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87" name="Label 63" hidden="1">
                <a:extLst>
                  <a:ext uri="{63B3BB69-23CF-44E3-9099-C40C66FF867C}">
                    <a14:compatExt spid="_x0000_s1087"/>
                  </a:ext>
                  <a:ext uri="{FF2B5EF4-FFF2-40B4-BE49-F238E27FC236}">
                    <a16:creationId xmlns:a16="http://schemas.microsoft.com/office/drawing/2014/main" id="{00000000-0008-0000-0100-00003F040000}"/>
                  </a:ext>
                </a:extLst>
              </xdr:cNvPr>
              <xdr:cNvSpPr/>
            </xdr:nvSpPr>
            <xdr:spPr bwMode="auto">
              <a:xfrm>
                <a:off x="6686549" y="1590674"/>
                <a:ext cx="3286125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You Can Paste A Serial From A Column.</a:t>
                </a:r>
              </a:p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It will Paste in Range(H6:H200) 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88" name="Label 64" hidden="1">
                <a:extLst>
                  <a:ext uri="{63B3BB69-23CF-44E3-9099-C40C66FF867C}">
                    <a14:compatExt spid="_x0000_s1088"/>
                  </a:ext>
                  <a:ext uri="{FF2B5EF4-FFF2-40B4-BE49-F238E27FC236}">
                    <a16:creationId xmlns:a16="http://schemas.microsoft.com/office/drawing/2014/main" id="{00000000-0008-0000-0100-000040040000}"/>
                  </a:ext>
                </a:extLst>
              </xdr:cNvPr>
              <xdr:cNvSpPr/>
            </xdr:nvSpPr>
            <xdr:spPr bwMode="auto">
              <a:xfrm>
                <a:off x="6686550" y="1962150"/>
                <a:ext cx="3695700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Delete From Source Directory If File Name</a:t>
                </a:r>
              </a:p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is Availbale in Range (H6:H200)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89" name="Label 65" hidden="1">
                <a:extLst>
                  <a:ext uri="{63B3BB69-23CF-44E3-9099-C40C66FF867C}">
                    <a14:compatExt spid="_x0000_s1089"/>
                  </a:ext>
                  <a:ext uri="{FF2B5EF4-FFF2-40B4-BE49-F238E27FC236}">
                    <a16:creationId xmlns:a16="http://schemas.microsoft.com/office/drawing/2014/main" id="{00000000-0008-0000-0100-000041040000}"/>
                  </a:ext>
                </a:extLst>
              </xdr:cNvPr>
              <xdr:cNvSpPr/>
            </xdr:nvSpPr>
            <xdr:spPr bwMode="auto">
              <a:xfrm>
                <a:off x="6686550" y="2381250"/>
                <a:ext cx="1743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Clear Data From Range(H6:H200)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0" name="Label 66" hidden="1">
                <a:extLst>
                  <a:ext uri="{63B3BB69-23CF-44E3-9099-C40C66FF867C}">
                    <a14:compatExt spid="_x0000_s1090"/>
                  </a:ext>
                  <a:ext uri="{FF2B5EF4-FFF2-40B4-BE49-F238E27FC236}">
                    <a16:creationId xmlns:a16="http://schemas.microsoft.com/office/drawing/2014/main" id="{00000000-0008-0000-0100-000042040000}"/>
                  </a:ext>
                </a:extLst>
              </xdr:cNvPr>
              <xdr:cNvSpPr/>
            </xdr:nvSpPr>
            <xdr:spPr bwMode="auto">
              <a:xfrm>
                <a:off x="6686549" y="2981326"/>
                <a:ext cx="38957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Copy All Data From Source Directory As Select  "Type"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1" name="Label 67" hidden="1">
                <a:extLst>
                  <a:ext uri="{63B3BB69-23CF-44E3-9099-C40C66FF867C}">
                    <a14:compatExt spid="_x0000_s1091"/>
                  </a:ext>
                  <a:ext uri="{FF2B5EF4-FFF2-40B4-BE49-F238E27FC236}">
                    <a16:creationId xmlns:a16="http://schemas.microsoft.com/office/drawing/2014/main" id="{00000000-0008-0000-0100-000043040000}"/>
                  </a:ext>
                </a:extLst>
              </xdr:cNvPr>
              <xdr:cNvSpPr/>
            </xdr:nvSpPr>
            <xdr:spPr bwMode="auto">
              <a:xfrm>
                <a:off x="6686550" y="3257550"/>
                <a:ext cx="2876550" cy="4572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Move All Data - From Source Directory As Select  "Type"</a:t>
                </a:r>
              </a:p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To Destination Directory As a New Folder</a:t>
                </a:r>
              </a:p>
            </xdr:txBody>
          </xdr:sp>
        </mc:Choice>
        <mc:Fallback/>
      </mc:AlternateContent>
      <xdr:cxnSp macro="">
        <xdr:nvCxnSpPr>
          <xdr:cNvPr id="92" name="Straight Connector 91" hidden="1">
            <a:extLst>
              <a:ext uri="{FF2B5EF4-FFF2-40B4-BE49-F238E27FC236}">
                <a16:creationId xmlns:a16="http://schemas.microsoft.com/office/drawing/2014/main" id="{00000000-0008-0000-0100-00005C000000}"/>
              </a:ext>
            </a:extLst>
          </xdr:cNvPr>
          <xdr:cNvCxnSpPr/>
        </xdr:nvCxnSpPr>
        <xdr:spPr>
          <a:xfrm>
            <a:off x="8982075" y="2828925"/>
            <a:ext cx="0" cy="171450"/>
          </a:xfrm>
          <a:prstGeom prst="line">
            <a:avLst/>
          </a:prstGeom>
          <a:ln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Arrow Connector 105" hidden="1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CxnSpPr/>
        </xdr:nvCxnSpPr>
        <xdr:spPr>
          <a:xfrm flipH="1">
            <a:off x="6000750" y="2828925"/>
            <a:ext cx="2981325" cy="0"/>
          </a:xfrm>
          <a:prstGeom prst="straightConnector1">
            <a:avLst/>
          </a:prstGeom>
          <a:ln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" name="Straight Arrow Connector 113" hidden="1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CxnSpPr/>
        </xdr:nvCxnSpPr>
        <xdr:spPr>
          <a:xfrm flipH="1">
            <a:off x="5934075" y="2828925"/>
            <a:ext cx="228600" cy="0"/>
          </a:xfrm>
          <a:prstGeom prst="straightConnector1">
            <a:avLst/>
          </a:prstGeom>
          <a:ln>
            <a:tailEnd type="triangle"/>
          </a:ln>
          <a:effectLst/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" name="Straight Arrow Connector 164" hidden="1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CxnSpPr/>
        </xdr:nvCxnSpPr>
        <xdr:spPr>
          <a:xfrm flipH="1">
            <a:off x="8991601" y="2828925"/>
            <a:ext cx="495299" cy="0"/>
          </a:xfrm>
          <a:prstGeom prst="straightConnector1">
            <a:avLst/>
          </a:prstGeom>
          <a:ln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" name="Straight Connector 121" hidden="1">
            <a:extLst>
              <a:ext uri="{FF2B5EF4-FFF2-40B4-BE49-F238E27FC236}">
                <a16:creationId xmlns:a16="http://schemas.microsoft.com/office/drawing/2014/main" id="{00000000-0008-0000-0100-00007A000000}"/>
              </a:ext>
            </a:extLst>
          </xdr:cNvPr>
          <xdr:cNvCxnSpPr/>
        </xdr:nvCxnSpPr>
        <xdr:spPr>
          <a:xfrm>
            <a:off x="9486900" y="2828925"/>
            <a:ext cx="0" cy="514350"/>
          </a:xfrm>
          <a:prstGeom prst="line">
            <a:avLst/>
          </a:prstGeom>
          <a:ln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" name="Straight Connector 123" hidden="1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CxnSpPr/>
        </xdr:nvCxnSpPr>
        <xdr:spPr>
          <a:xfrm flipH="1">
            <a:off x="9239250" y="3343275"/>
            <a:ext cx="247650" cy="0"/>
          </a:xfrm>
          <a:prstGeom prst="line">
            <a:avLst/>
          </a:prstGeom>
          <a:ln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grpSp>
        <xdr:nvGrpSpPr>
          <xdr:cNvPr id="1038" name="Group 1037" hidden="1">
            <a:extLst>
              <a:ext uri="{FF2B5EF4-FFF2-40B4-BE49-F238E27FC236}">
                <a16:creationId xmlns:a16="http://schemas.microsoft.com/office/drawing/2014/main" id="{00000000-0008-0000-0100-00000E040000}"/>
              </a:ext>
            </a:extLst>
          </xdr:cNvPr>
          <xdr:cNvGrpSpPr/>
        </xdr:nvGrpSpPr>
        <xdr:grpSpPr>
          <a:xfrm>
            <a:off x="4453922" y="3095625"/>
            <a:ext cx="731457" cy="1066800"/>
            <a:chOff x="4453922" y="3095625"/>
            <a:chExt cx="731457" cy="1066800"/>
          </a:xfrm>
        </xdr:grpSpPr>
        <xdr:cxnSp macro="">
          <xdr:nvCxnSpPr>
            <xdr:cNvPr id="176" name="Straight Arrow Connector 175" hidden="1">
              <a:extLst>
                <a:ext uri="{FF2B5EF4-FFF2-40B4-BE49-F238E27FC236}">
                  <a16:creationId xmlns:a16="http://schemas.microsoft.com/office/drawing/2014/main" id="{00000000-0008-0000-0100-0000B0000000}"/>
                </a:ext>
              </a:extLst>
            </xdr:cNvPr>
            <xdr:cNvCxnSpPr/>
          </xdr:nvCxnSpPr>
          <xdr:spPr>
            <a:xfrm>
              <a:off x="4453922" y="4162425"/>
              <a:ext cx="731457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79" name="Straight Arrow Connector 178" hidden="1">
              <a:extLst>
                <a:ext uri="{FF2B5EF4-FFF2-40B4-BE49-F238E27FC236}">
                  <a16:creationId xmlns:a16="http://schemas.microsoft.com/office/drawing/2014/main" id="{00000000-0008-0000-0100-0000B3000000}"/>
                </a:ext>
              </a:extLst>
            </xdr:cNvPr>
            <xdr:cNvCxnSpPr/>
          </xdr:nvCxnSpPr>
          <xdr:spPr>
            <a:xfrm flipH="1">
              <a:off x="4461931" y="3095625"/>
              <a:ext cx="134414" cy="0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82" name="Straight Arrow Connector 181" hidden="1">
              <a:extLst>
                <a:ext uri="{FF2B5EF4-FFF2-40B4-BE49-F238E27FC236}">
                  <a16:creationId xmlns:a16="http://schemas.microsoft.com/office/drawing/2014/main" id="{00000000-0008-0000-0100-0000B6000000}"/>
                </a:ext>
              </a:extLst>
            </xdr:cNvPr>
            <xdr:cNvCxnSpPr/>
          </xdr:nvCxnSpPr>
          <xdr:spPr>
            <a:xfrm flipV="1">
              <a:off x="4457701" y="3095625"/>
              <a:ext cx="0" cy="1066800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050" name="Group 1049" hidden="1">
            <a:extLst>
              <a:ext uri="{FF2B5EF4-FFF2-40B4-BE49-F238E27FC236}">
                <a16:creationId xmlns:a16="http://schemas.microsoft.com/office/drawing/2014/main" id="{00000000-0008-0000-0100-00001A040000}"/>
              </a:ext>
            </a:extLst>
          </xdr:cNvPr>
          <xdr:cNvGrpSpPr/>
        </xdr:nvGrpSpPr>
        <xdr:grpSpPr>
          <a:xfrm>
            <a:off x="4667250" y="3457576"/>
            <a:ext cx="533400" cy="381000"/>
            <a:chOff x="4476750" y="3371850"/>
            <a:chExt cx="876300" cy="1066800"/>
          </a:xfrm>
        </xdr:grpSpPr>
        <xdr:cxnSp macro="">
          <xdr:nvCxnSpPr>
            <xdr:cNvPr id="189" name="Straight Arrow Connector 188" hidden="1">
              <a:extLst>
                <a:ext uri="{FF2B5EF4-FFF2-40B4-BE49-F238E27FC236}">
                  <a16:creationId xmlns:a16="http://schemas.microsoft.com/office/drawing/2014/main" id="{00000000-0008-0000-0100-0000BD000000}"/>
                </a:ext>
              </a:extLst>
            </xdr:cNvPr>
            <xdr:cNvCxnSpPr/>
          </xdr:nvCxnSpPr>
          <xdr:spPr>
            <a:xfrm>
              <a:off x="4476750" y="4438650"/>
              <a:ext cx="876300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91" name="Straight Arrow Connector 190" hidden="1">
              <a:extLst>
                <a:ext uri="{FF2B5EF4-FFF2-40B4-BE49-F238E27FC236}">
                  <a16:creationId xmlns:a16="http://schemas.microsoft.com/office/drawing/2014/main" id="{00000000-0008-0000-0100-0000BF000000}"/>
                </a:ext>
              </a:extLst>
            </xdr:cNvPr>
            <xdr:cNvCxnSpPr/>
          </xdr:nvCxnSpPr>
          <xdr:spPr>
            <a:xfrm flipV="1">
              <a:off x="4476751" y="3371850"/>
              <a:ext cx="0" cy="1066800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2" name="Label 68" hidden="1">
                <a:extLst>
                  <a:ext uri="{63B3BB69-23CF-44E3-9099-C40C66FF867C}">
                    <a14:compatExt spid="_x0000_s1092"/>
                  </a:ext>
                  <a:ext uri="{FF2B5EF4-FFF2-40B4-BE49-F238E27FC236}">
                    <a16:creationId xmlns:a16="http://schemas.microsoft.com/office/drawing/2014/main" id="{00000000-0008-0000-0100-000044040000}"/>
                  </a:ext>
                </a:extLst>
              </xdr:cNvPr>
              <xdr:cNvSpPr/>
            </xdr:nvSpPr>
            <xdr:spPr bwMode="auto">
              <a:xfrm>
                <a:off x="5257800" y="3733800"/>
                <a:ext cx="1743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Delete All Data As Selected "Type"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3" name="Label 69" hidden="1">
                <a:extLst>
                  <a:ext uri="{63B3BB69-23CF-44E3-9099-C40C66FF867C}">
                    <a14:compatExt spid="_x0000_s1093"/>
                  </a:ext>
                  <a:ext uri="{FF2B5EF4-FFF2-40B4-BE49-F238E27FC236}">
                    <a16:creationId xmlns:a16="http://schemas.microsoft.com/office/drawing/2014/main" id="{00000000-0008-0000-0100-000045040000}"/>
                  </a:ext>
                </a:extLst>
              </xdr:cNvPr>
              <xdr:cNvSpPr/>
            </xdr:nvSpPr>
            <xdr:spPr bwMode="auto">
              <a:xfrm>
                <a:off x="5267324" y="4057650"/>
                <a:ext cx="454342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If it is Selected : All Data Will Be Delete From Source As Selected Type, After Copied File's</a:t>
                </a:r>
              </a:p>
            </xdr:txBody>
          </xdr:sp>
        </mc:Choice>
        <mc:Fallback/>
      </mc:AlternateContent>
      <xdr:sp macro="" textlink="">
        <xdr:nvSpPr>
          <xdr:cNvPr id="1051" name="Speech Bubble: Rectangle with Corners Rounded 1050" hidden="1">
            <a:extLst>
              <a:ext uri="{FF2B5EF4-FFF2-40B4-BE49-F238E27FC236}">
                <a16:creationId xmlns:a16="http://schemas.microsoft.com/office/drawing/2014/main" id="{00000000-0008-0000-0100-00001B040000}"/>
              </a:ext>
            </a:extLst>
          </xdr:cNvPr>
          <xdr:cNvSpPr/>
        </xdr:nvSpPr>
        <xdr:spPr>
          <a:xfrm>
            <a:off x="3028950" y="1266823"/>
            <a:ext cx="1428750" cy="1943101"/>
          </a:xfrm>
          <a:prstGeom prst="wedgeRoundRectCallout">
            <a:avLst>
              <a:gd name="adj1" fmla="val 5962"/>
              <a:gd name="adj2" fmla="val -63883"/>
              <a:gd name="adj3" fmla="val 16667"/>
            </a:avLst>
          </a:prstGeom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14:hiddenEffects>
            </a:ext>
          </a:ex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/>
              <a:t>Each</a:t>
            </a:r>
            <a:r>
              <a:rPr lang="en-US" sz="1050" baseline="0"/>
              <a:t> file name of this column will be concatinate this Extention </a:t>
            </a:r>
            <a:r>
              <a:rPr lang="en-US" sz="1050" baseline="0">
                <a:solidFill>
                  <a:srgbClr val="FF0000"/>
                </a:solidFill>
              </a:rPr>
              <a:t>to Delete </a:t>
            </a:r>
            <a:r>
              <a:rPr lang="en-US" sz="1050" baseline="0"/>
              <a:t>Them.</a:t>
            </a:r>
            <a:endParaRPr lang="en-US" sz="1050"/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===============</a:t>
            </a:r>
            <a:endParaRPr lang="en-US" sz="1050"/>
          </a:p>
          <a:p>
            <a:pPr algn="ctr"/>
            <a:r>
              <a:rPr lang="en-US" sz="1050" b="1">
                <a:solidFill>
                  <a:srgbClr val="FF0000"/>
                </a:solidFill>
              </a:rPr>
              <a:t>Be</a:t>
            </a:r>
            <a:r>
              <a:rPr lang="en-US" sz="1050" b="1" baseline="0">
                <a:solidFill>
                  <a:srgbClr val="FF0000"/>
                </a:solidFill>
              </a:rPr>
              <a:t> Alert: </a:t>
            </a:r>
            <a:r>
              <a:rPr lang="en-US" sz="1050" baseline="0"/>
              <a:t>This Column Only For </a:t>
            </a:r>
            <a:r>
              <a:rPr lang="en-US" sz="1050" baseline="0">
                <a:solidFill>
                  <a:srgbClr val="FF0000"/>
                </a:solidFill>
              </a:rPr>
              <a:t>"File Name"</a:t>
            </a:r>
          </a:p>
          <a:p>
            <a:pPr algn="ctr"/>
            <a:r>
              <a:rPr lang="en-US" sz="1050" baseline="0"/>
              <a:t>Without Extection </a:t>
            </a:r>
            <a:endParaRPr lang="en-US" sz="1050"/>
          </a:p>
        </xdr:txBody>
      </xdr:sp>
      <xdr:grpSp>
        <xdr:nvGrpSpPr>
          <xdr:cNvPr id="132" name="Group 131" hidden="1">
            <a:extLst>
              <a:ext uri="{FF2B5EF4-FFF2-40B4-BE49-F238E27FC236}">
                <a16:creationId xmlns:a16="http://schemas.microsoft.com/office/drawing/2014/main" id="{00000000-0008-0000-0100-000084000000}"/>
              </a:ext>
            </a:extLst>
          </xdr:cNvPr>
          <xdr:cNvGrpSpPr/>
        </xdr:nvGrpSpPr>
        <xdr:grpSpPr>
          <a:xfrm>
            <a:off x="447674" y="1728790"/>
            <a:ext cx="1194321" cy="2957510"/>
            <a:chOff x="447674" y="1728790"/>
            <a:chExt cx="1194321" cy="2957510"/>
          </a:xfrm>
        </xdr:grpSpPr>
        <xdr:cxnSp macro="">
          <xdr:nvCxnSpPr>
            <xdr:cNvPr id="206" name="Straight Arrow Connector 205" hidden="1">
              <a:extLst>
                <a:ext uri="{FF2B5EF4-FFF2-40B4-BE49-F238E27FC236}">
                  <a16:creationId xmlns:a16="http://schemas.microsoft.com/office/drawing/2014/main" id="{00000000-0008-0000-0100-0000CE000000}"/>
                </a:ext>
              </a:extLst>
            </xdr:cNvPr>
            <xdr:cNvCxnSpPr/>
          </xdr:nvCxnSpPr>
          <xdr:spPr>
            <a:xfrm>
              <a:off x="466575" y="1733553"/>
              <a:ext cx="1175420" cy="0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07" name="Straight Arrow Connector 206" hidden="1">
              <a:extLst>
                <a:ext uri="{FF2B5EF4-FFF2-40B4-BE49-F238E27FC236}">
                  <a16:creationId xmlns:a16="http://schemas.microsoft.com/office/drawing/2014/main" id="{00000000-0008-0000-0100-0000CF000000}"/>
                </a:ext>
              </a:extLst>
            </xdr:cNvPr>
            <xdr:cNvCxnSpPr/>
          </xdr:nvCxnSpPr>
          <xdr:spPr>
            <a:xfrm>
              <a:off x="447674" y="1728790"/>
              <a:ext cx="0" cy="2957510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12" name="Straight Arrow Connector 211" hidden="1">
              <a:extLst>
                <a:ext uri="{FF2B5EF4-FFF2-40B4-BE49-F238E27FC236}">
                  <a16:creationId xmlns:a16="http://schemas.microsoft.com/office/drawing/2014/main" id="{00000000-0008-0000-0100-0000D4000000}"/>
                </a:ext>
              </a:extLst>
            </xdr:cNvPr>
            <xdr:cNvCxnSpPr/>
          </xdr:nvCxnSpPr>
          <xdr:spPr>
            <a:xfrm>
              <a:off x="447675" y="4686300"/>
              <a:ext cx="797266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214" name="Group 213" hidden="1">
            <a:extLst>
              <a:ext uri="{FF2B5EF4-FFF2-40B4-BE49-F238E27FC236}">
                <a16:creationId xmlns:a16="http://schemas.microsoft.com/office/drawing/2014/main" id="{00000000-0008-0000-0100-0000D6000000}"/>
              </a:ext>
            </a:extLst>
          </xdr:cNvPr>
          <xdr:cNvGrpSpPr/>
        </xdr:nvGrpSpPr>
        <xdr:grpSpPr>
          <a:xfrm>
            <a:off x="628650" y="2062165"/>
            <a:ext cx="1008726" cy="2414585"/>
            <a:chOff x="414338" y="1728790"/>
            <a:chExt cx="1213326" cy="2957510"/>
          </a:xfrm>
        </xdr:grpSpPr>
        <xdr:cxnSp macro="">
          <xdr:nvCxnSpPr>
            <xdr:cNvPr id="215" name="Straight Arrow Connector 214" hidden="1">
              <a:extLst>
                <a:ext uri="{FF2B5EF4-FFF2-40B4-BE49-F238E27FC236}">
                  <a16:creationId xmlns:a16="http://schemas.microsoft.com/office/drawing/2014/main" id="{00000000-0008-0000-0100-0000D7000000}"/>
                </a:ext>
              </a:extLst>
            </xdr:cNvPr>
            <xdr:cNvCxnSpPr/>
          </xdr:nvCxnSpPr>
          <xdr:spPr>
            <a:xfrm>
              <a:off x="415808" y="1733553"/>
              <a:ext cx="1211856" cy="0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16" name="Straight Arrow Connector 215" hidden="1">
              <a:extLst>
                <a:ext uri="{FF2B5EF4-FFF2-40B4-BE49-F238E27FC236}">
                  <a16:creationId xmlns:a16="http://schemas.microsoft.com/office/drawing/2014/main" id="{00000000-0008-0000-0100-0000D8000000}"/>
                </a:ext>
              </a:extLst>
            </xdr:cNvPr>
            <xdr:cNvCxnSpPr/>
          </xdr:nvCxnSpPr>
          <xdr:spPr>
            <a:xfrm>
              <a:off x="414338" y="1728790"/>
              <a:ext cx="0" cy="2957510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17" name="Straight Arrow Connector 216" hidden="1">
              <a:extLst>
                <a:ext uri="{FF2B5EF4-FFF2-40B4-BE49-F238E27FC236}">
                  <a16:creationId xmlns:a16="http://schemas.microsoft.com/office/drawing/2014/main" id="{00000000-0008-0000-0100-0000D9000000}"/>
                </a:ext>
              </a:extLst>
            </xdr:cNvPr>
            <xdr:cNvCxnSpPr/>
          </xdr:nvCxnSpPr>
          <xdr:spPr>
            <a:xfrm>
              <a:off x="419100" y="4686300"/>
              <a:ext cx="873771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57" name="Group 156" hidden="1">
            <a:extLst>
              <a:ext uri="{FF2B5EF4-FFF2-40B4-BE49-F238E27FC236}">
                <a16:creationId xmlns:a16="http://schemas.microsoft.com/office/drawing/2014/main" id="{00000000-0008-0000-0100-00009D000000}"/>
              </a:ext>
            </a:extLst>
          </xdr:cNvPr>
          <xdr:cNvGrpSpPr/>
        </xdr:nvGrpSpPr>
        <xdr:grpSpPr>
          <a:xfrm>
            <a:off x="789632" y="2433640"/>
            <a:ext cx="862684" cy="1833560"/>
            <a:chOff x="789632" y="2433640"/>
            <a:chExt cx="862684" cy="1833560"/>
          </a:xfrm>
        </xdr:grpSpPr>
        <xdr:cxnSp macro="">
          <xdr:nvCxnSpPr>
            <xdr:cNvPr id="219" name="Straight Arrow Connector 218" hidden="1">
              <a:extLst>
                <a:ext uri="{FF2B5EF4-FFF2-40B4-BE49-F238E27FC236}">
                  <a16:creationId xmlns:a16="http://schemas.microsoft.com/office/drawing/2014/main" id="{00000000-0008-0000-0100-0000DB000000}"/>
                </a:ext>
              </a:extLst>
            </xdr:cNvPr>
            <xdr:cNvCxnSpPr/>
          </xdr:nvCxnSpPr>
          <xdr:spPr>
            <a:xfrm>
              <a:off x="789632" y="2436592"/>
              <a:ext cx="862684" cy="0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20" name="Straight Arrow Connector 219" hidden="1">
              <a:extLst>
                <a:ext uri="{FF2B5EF4-FFF2-40B4-BE49-F238E27FC236}">
                  <a16:creationId xmlns:a16="http://schemas.microsoft.com/office/drawing/2014/main" id="{00000000-0008-0000-0100-0000DC000000}"/>
                </a:ext>
              </a:extLst>
            </xdr:cNvPr>
            <xdr:cNvCxnSpPr/>
          </xdr:nvCxnSpPr>
          <xdr:spPr>
            <a:xfrm>
              <a:off x="790575" y="2433640"/>
              <a:ext cx="0" cy="1833560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21" name="Straight Arrow Connector 220" hidden="1">
              <a:extLst>
                <a:ext uri="{FF2B5EF4-FFF2-40B4-BE49-F238E27FC236}">
                  <a16:creationId xmlns:a16="http://schemas.microsoft.com/office/drawing/2014/main" id="{00000000-0008-0000-0100-0000DD000000}"/>
                </a:ext>
              </a:extLst>
            </xdr:cNvPr>
            <xdr:cNvCxnSpPr/>
          </xdr:nvCxnSpPr>
          <xdr:spPr>
            <a:xfrm>
              <a:off x="794123" y="4266971"/>
              <a:ext cx="651045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222" name="Group 221" hidden="1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GrpSpPr/>
        </xdr:nvGrpSpPr>
        <xdr:grpSpPr>
          <a:xfrm>
            <a:off x="965050" y="2823210"/>
            <a:ext cx="701825" cy="1243965"/>
            <a:chOff x="404107" y="1726518"/>
            <a:chExt cx="1104725" cy="2959782"/>
          </a:xfrm>
        </xdr:grpSpPr>
        <xdr:cxnSp macro="">
          <xdr:nvCxnSpPr>
            <xdr:cNvPr id="223" name="Straight Arrow Connector 222" hidden="1">
              <a:extLst>
                <a:ext uri="{FF2B5EF4-FFF2-40B4-BE49-F238E27FC236}">
                  <a16:creationId xmlns:a16="http://schemas.microsoft.com/office/drawing/2014/main" id="{00000000-0008-0000-0100-0000DF000000}"/>
                </a:ext>
              </a:extLst>
            </xdr:cNvPr>
            <xdr:cNvCxnSpPr/>
          </xdr:nvCxnSpPr>
          <xdr:spPr>
            <a:xfrm flipV="1">
              <a:off x="404107" y="1726518"/>
              <a:ext cx="1104725" cy="7036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24" name="Straight Arrow Connector 223" hidden="1">
              <a:extLst>
                <a:ext uri="{FF2B5EF4-FFF2-40B4-BE49-F238E27FC236}">
                  <a16:creationId xmlns:a16="http://schemas.microsoft.com/office/drawing/2014/main" id="{00000000-0008-0000-0100-0000E0000000}"/>
                </a:ext>
              </a:extLst>
            </xdr:cNvPr>
            <xdr:cNvCxnSpPr/>
          </xdr:nvCxnSpPr>
          <xdr:spPr>
            <a:xfrm>
              <a:off x="414338" y="1728790"/>
              <a:ext cx="0" cy="2957510"/>
            </a:xfrm>
            <a:prstGeom prst="straightConnector1">
              <a:avLst/>
            </a:prstGeom>
            <a:ln>
              <a:solidFill>
                <a:srgbClr val="FF0000"/>
              </a:solidFill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25" name="Straight Arrow Connector 224" hidden="1">
              <a:extLst>
                <a:ext uri="{FF2B5EF4-FFF2-40B4-BE49-F238E27FC236}">
                  <a16:creationId xmlns:a16="http://schemas.microsoft.com/office/drawing/2014/main" id="{00000000-0008-0000-0100-0000E1000000}"/>
                </a:ext>
              </a:extLst>
            </xdr:cNvPr>
            <xdr:cNvCxnSpPr/>
          </xdr:nvCxnSpPr>
          <xdr:spPr>
            <a:xfrm>
              <a:off x="419100" y="4686300"/>
              <a:ext cx="873771" cy="0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4" name="Label 70" hidden="1">
                <a:extLst>
                  <a:ext uri="{63B3BB69-23CF-44E3-9099-C40C66FF867C}">
                    <a14:compatExt spid="_x0000_s1094"/>
                  </a:ext>
                  <a:ext uri="{FF2B5EF4-FFF2-40B4-BE49-F238E27FC236}">
                    <a16:creationId xmlns:a16="http://schemas.microsoft.com/office/drawing/2014/main" id="{00000000-0008-0000-0100-000046040000}"/>
                  </a:ext>
                </a:extLst>
              </xdr:cNvPr>
              <xdr:cNvSpPr/>
            </xdr:nvSpPr>
            <xdr:spPr bwMode="auto">
              <a:xfrm>
                <a:off x="1562100" y="3962400"/>
                <a:ext cx="1743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Get All Data As Selected "Type"</a:t>
                </a:r>
              </a:p>
            </xdr:txBody>
          </xdr:sp>
        </mc:Choice>
        <mc:Fallback/>
      </mc:AlternateContent>
      <xdr:grpSp>
        <xdr:nvGrpSpPr>
          <xdr:cNvPr id="145" name="Group 144" hidden="1">
            <a:extLst>
              <a:ext uri="{FF2B5EF4-FFF2-40B4-BE49-F238E27FC236}">
                <a16:creationId xmlns:a16="http://schemas.microsoft.com/office/drawing/2014/main" id="{00000000-0008-0000-0100-000091000000}"/>
              </a:ext>
            </a:extLst>
          </xdr:cNvPr>
          <xdr:cNvGrpSpPr/>
        </xdr:nvGrpSpPr>
        <xdr:grpSpPr>
          <a:xfrm>
            <a:off x="2706370" y="1394866"/>
            <a:ext cx="141605" cy="1434059"/>
            <a:chOff x="2706370" y="1394866"/>
            <a:chExt cx="141605" cy="1434059"/>
          </a:xfrm>
        </xdr:grpSpPr>
        <xdr:grpSp>
          <xdr:nvGrpSpPr>
            <xdr:cNvPr id="144" name="Group 143" hidden="1">
              <a:extLst>
                <a:ext uri="{FF2B5EF4-FFF2-40B4-BE49-F238E27FC236}">
                  <a16:creationId xmlns:a16="http://schemas.microsoft.com/office/drawing/2014/main" id="{00000000-0008-0000-0100-000090000000}"/>
                </a:ext>
              </a:extLst>
            </xdr:cNvPr>
            <xdr:cNvGrpSpPr/>
          </xdr:nvGrpSpPr>
          <xdr:grpSpPr>
            <a:xfrm>
              <a:off x="2706370" y="1699260"/>
              <a:ext cx="141605" cy="1114425"/>
              <a:chOff x="2696845" y="1699260"/>
              <a:chExt cx="141605" cy="1114425"/>
            </a:xfrm>
          </xdr:grpSpPr>
          <xdr:cxnSp macro="">
            <xdr:nvCxnSpPr>
              <xdr:cNvPr id="136" name="Straight Connector 135" hidden="1">
                <a:extLst>
                  <a:ext uri="{FF2B5EF4-FFF2-40B4-BE49-F238E27FC236}">
                    <a16:creationId xmlns:a16="http://schemas.microsoft.com/office/drawing/2014/main" id="{00000000-0008-0000-0100-000088000000}"/>
                  </a:ext>
                </a:extLst>
              </xdr:cNvPr>
              <xdr:cNvCxnSpPr/>
            </xdr:nvCxnSpPr>
            <xdr:spPr>
              <a:xfrm>
                <a:off x="2696845" y="1699260"/>
                <a:ext cx="141605" cy="0"/>
              </a:xfrm>
              <a:prstGeom prst="line">
                <a:avLst/>
              </a:prstGeom>
              <a:ln>
                <a:solidFill>
                  <a:schemeClr val="bg1"/>
                </a:solidFill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14:hiddenEffects>
                </a:ext>
              </a:extLst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37" name="Straight Connector 236" hidden="1">
                <a:extLst>
                  <a:ext uri="{FF2B5EF4-FFF2-40B4-BE49-F238E27FC236}">
                    <a16:creationId xmlns:a16="http://schemas.microsoft.com/office/drawing/2014/main" id="{00000000-0008-0000-0100-0000ED000000}"/>
                  </a:ext>
                </a:extLst>
              </xdr:cNvPr>
              <xdr:cNvCxnSpPr/>
            </xdr:nvCxnSpPr>
            <xdr:spPr>
              <a:xfrm>
                <a:off x="2696845" y="2051685"/>
                <a:ext cx="141605" cy="0"/>
              </a:xfrm>
              <a:prstGeom prst="line">
                <a:avLst/>
              </a:prstGeom>
              <a:ln>
                <a:solidFill>
                  <a:schemeClr val="bg1"/>
                </a:solidFill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14:hiddenEffects>
                </a:ext>
              </a:extLst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38" name="Straight Connector 237" hidden="1">
                <a:extLst>
                  <a:ext uri="{FF2B5EF4-FFF2-40B4-BE49-F238E27FC236}">
                    <a16:creationId xmlns:a16="http://schemas.microsoft.com/office/drawing/2014/main" id="{00000000-0008-0000-0100-0000EE000000}"/>
                  </a:ext>
                </a:extLst>
              </xdr:cNvPr>
              <xdr:cNvCxnSpPr/>
            </xdr:nvCxnSpPr>
            <xdr:spPr>
              <a:xfrm>
                <a:off x="2696845" y="2442210"/>
                <a:ext cx="141605" cy="0"/>
              </a:xfrm>
              <a:prstGeom prst="line">
                <a:avLst/>
              </a:prstGeom>
              <a:ln>
                <a:solidFill>
                  <a:schemeClr val="bg1"/>
                </a:solidFill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14:hiddenEffects>
                </a:ext>
              </a:extLst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39" name="Straight Connector 238" hidden="1">
                <a:extLst>
                  <a:ext uri="{FF2B5EF4-FFF2-40B4-BE49-F238E27FC236}">
                    <a16:creationId xmlns:a16="http://schemas.microsoft.com/office/drawing/2014/main" id="{00000000-0008-0000-0100-0000EF000000}"/>
                  </a:ext>
                </a:extLst>
              </xdr:cNvPr>
              <xdr:cNvCxnSpPr/>
            </xdr:nvCxnSpPr>
            <xdr:spPr>
              <a:xfrm>
                <a:off x="2696845" y="2813685"/>
                <a:ext cx="141605" cy="0"/>
              </a:xfrm>
              <a:prstGeom prst="line">
                <a:avLst/>
              </a:prstGeom>
              <a:ln>
                <a:solidFill>
                  <a:schemeClr val="bg1"/>
                </a:solidFill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14:hiddenEffects>
                </a:ext>
              </a:extLst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29" name="Straight Arrow Connector 228" hidden="1">
              <a:extLst>
                <a:ext uri="{FF2B5EF4-FFF2-40B4-BE49-F238E27FC236}">
                  <a16:creationId xmlns:a16="http://schemas.microsoft.com/office/drawing/2014/main" id="{00000000-0008-0000-0100-0000E5000000}"/>
                </a:ext>
              </a:extLst>
            </xdr:cNvPr>
            <xdr:cNvCxnSpPr/>
          </xdr:nvCxnSpPr>
          <xdr:spPr>
            <a:xfrm flipH="1" flipV="1">
              <a:off x="2834236" y="1394866"/>
              <a:ext cx="13739" cy="1434059"/>
            </a:xfrm>
            <a:prstGeom prst="straightConnector1">
              <a:avLst/>
            </a:prstGeom>
            <a:ln>
              <a:solidFill>
                <a:schemeClr val="bg1"/>
              </a:solidFill>
              <a:tailEnd type="triangle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14:hiddenEffects>
              </a:ext>
            </a:extLst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" name="Label 71" hidden="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100-000047040000}"/>
                  </a:ext>
                </a:extLst>
              </xdr:cNvPr>
              <xdr:cNvSpPr/>
            </xdr:nvSpPr>
            <xdr:spPr bwMode="auto">
              <a:xfrm>
                <a:off x="1457325" y="4171950"/>
                <a:ext cx="1743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Sor Small to Large (Start Num : 2.ext 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6" name="Label 72" hidden="1">
                <a:extLst>
                  <a:ext uri="{63B3BB69-23CF-44E3-9099-C40C66FF867C}">
                    <a14:compatExt spid="_x0000_s1096"/>
                  </a:ext>
                  <a:ext uri="{FF2B5EF4-FFF2-40B4-BE49-F238E27FC236}">
                    <a16:creationId xmlns:a16="http://schemas.microsoft.com/office/drawing/2014/main" id="{00000000-0008-0000-0100-000048040000}"/>
                  </a:ext>
                </a:extLst>
              </xdr:cNvPr>
              <xdr:cNvSpPr/>
            </xdr:nvSpPr>
            <xdr:spPr bwMode="auto">
              <a:xfrm>
                <a:off x="1371600" y="4391025"/>
                <a:ext cx="1743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Rename All Files As Selected "Type"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7" name="Label 73" hidden="1">
                <a:extLst>
                  <a:ext uri="{63B3BB69-23CF-44E3-9099-C40C66FF867C}">
                    <a14:compatExt spid="_x0000_s1097"/>
                  </a:ext>
                  <a:ext uri="{FF2B5EF4-FFF2-40B4-BE49-F238E27FC236}">
                    <a16:creationId xmlns:a16="http://schemas.microsoft.com/office/drawing/2014/main" id="{00000000-0008-0000-0100-000049040000}"/>
                  </a:ext>
                </a:extLst>
              </xdr:cNvPr>
              <xdr:cNvSpPr/>
            </xdr:nvSpPr>
            <xdr:spPr bwMode="auto">
              <a:xfrm>
                <a:off x="1266825" y="4591050"/>
                <a:ext cx="1743075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Clear All Get File</a:t>
                </a:r>
              </a:p>
            </xdr:txBody>
          </xdr:sp>
        </mc:Choice>
        <mc:Fallback/>
      </mc:AlternateContent>
      <xdr:cxnSp macro="">
        <xdr:nvCxnSpPr>
          <xdr:cNvPr id="258" name="Straight Arrow Connector 257" hidden="1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CxnSpPr/>
        </xdr:nvCxnSpPr>
        <xdr:spPr>
          <a:xfrm>
            <a:off x="2152650" y="3390900"/>
            <a:ext cx="0" cy="26670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a14:hiddenEffects>
            </a:ext>
          </a:extLst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8" name="Label 74" hidden="1">
                <a:extLst>
                  <a:ext uri="{63B3BB69-23CF-44E3-9099-C40C66FF867C}">
                    <a14:compatExt spid="_x0000_s1098"/>
                  </a:ext>
                  <a:ext uri="{FF2B5EF4-FFF2-40B4-BE49-F238E27FC236}">
                    <a16:creationId xmlns:a16="http://schemas.microsoft.com/office/drawing/2014/main" id="{00000000-0008-0000-0100-00004A040000}"/>
                  </a:ext>
                </a:extLst>
              </xdr:cNvPr>
              <xdr:cNvSpPr/>
            </xdr:nvSpPr>
            <xdr:spPr bwMode="auto">
              <a:xfrm>
                <a:off x="1952625" y="3648075"/>
                <a:ext cx="457200" cy="1619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Counter</a:t>
                </a:r>
              </a:p>
            </xdr:txBody>
          </xdr:sp>
        </mc:Choice>
        <mc:Fallback/>
      </mc:AlternateContent>
      <xdr:sp macro="" textlink="">
        <xdr:nvSpPr>
          <xdr:cNvPr id="264" name="Speech Bubble: Rectangle with Corners Rounded 263" hidden="1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/>
        </xdr:nvSpPr>
        <xdr:spPr>
          <a:xfrm>
            <a:off x="942975" y="152399"/>
            <a:ext cx="1924050" cy="342901"/>
          </a:xfrm>
          <a:prstGeom prst="wedgeRoundRectCallout">
            <a:avLst>
              <a:gd name="adj1" fmla="val -58672"/>
              <a:gd name="adj2" fmla="val 22228"/>
              <a:gd name="adj3" fmla="val 16667"/>
            </a:avLst>
          </a:prstGeom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14:hiddenEffects>
            </a:ext>
          </a:ex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/>
              <a:t>Select</a:t>
            </a:r>
            <a:r>
              <a:rPr lang="en-US" sz="1050" baseline="0"/>
              <a:t> Source Directory</a:t>
            </a:r>
            <a:endParaRPr lang="en-US" sz="1050"/>
          </a:p>
        </xdr:txBody>
      </xdr:sp>
      <xdr:sp macro="" textlink="">
        <xdr:nvSpPr>
          <xdr:cNvPr id="268" name="Speech Bubble: Rectangle with Corners Rounded 267" hidden="1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/>
        </xdr:nvSpPr>
        <xdr:spPr>
          <a:xfrm>
            <a:off x="4105275" y="685800"/>
            <a:ext cx="1095375" cy="361951"/>
          </a:xfrm>
          <a:prstGeom prst="wedgeRoundRectCallout">
            <a:avLst>
              <a:gd name="adj1" fmla="val -62133"/>
              <a:gd name="adj2" fmla="val -58575"/>
              <a:gd name="adj3" fmla="val 16667"/>
            </a:avLst>
          </a:prstGeom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14:hiddenEffects>
            </a:ext>
          </a:ex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/>
              <a:t>For</a:t>
            </a:r>
            <a:r>
              <a:rPr lang="en-US" sz="1050" baseline="0"/>
              <a:t> Fast Work</a:t>
            </a:r>
            <a:endParaRPr lang="en-US" sz="1050"/>
          </a:p>
        </xdr:txBody>
      </xdr:sp>
      <xdr:sp macro="" textlink="">
        <xdr:nvSpPr>
          <xdr:cNvPr id="269" name="Speech Bubble: Rectangle with Corners Rounded 268" hidden="1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/>
        </xdr:nvSpPr>
        <xdr:spPr>
          <a:xfrm>
            <a:off x="6029326" y="476250"/>
            <a:ext cx="1162050" cy="523875"/>
          </a:xfrm>
          <a:prstGeom prst="wedgeRoundRectCallout">
            <a:avLst>
              <a:gd name="adj1" fmla="val -59028"/>
              <a:gd name="adj2" fmla="val -55718"/>
              <a:gd name="adj3" fmla="val 16667"/>
            </a:avLst>
          </a:prstGeom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14:hiddenEffects>
            </a:ext>
          </a:ex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/>
              <a:t>Toggle Destination</a:t>
            </a:r>
          </a:p>
        </xdr:txBody>
      </xdr:sp>
      <xdr:sp macro="" textlink="">
        <xdr:nvSpPr>
          <xdr:cNvPr id="270" name="Speech Bubble: Rectangle with Corners Rounded 269" hidden="1">
            <a:extLst>
              <a:ext uri="{FF2B5EF4-FFF2-40B4-BE49-F238E27FC236}">
                <a16:creationId xmlns:a16="http://schemas.microsoft.com/office/drawing/2014/main" id="{00000000-0008-0000-0100-00000E010000}"/>
              </a:ext>
            </a:extLst>
          </xdr:cNvPr>
          <xdr:cNvSpPr/>
        </xdr:nvSpPr>
        <xdr:spPr>
          <a:xfrm>
            <a:off x="2895599" y="114299"/>
            <a:ext cx="1838325" cy="342901"/>
          </a:xfrm>
          <a:prstGeom prst="wedgeRoundRectCallout">
            <a:avLst>
              <a:gd name="adj1" fmla="val 63466"/>
              <a:gd name="adj2" fmla="val 44450"/>
              <a:gd name="adj3" fmla="val 16667"/>
            </a:avLst>
          </a:prstGeom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14:hiddenEffects>
            </a:ext>
          </a:ex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/>
              <a:t>Select</a:t>
            </a:r>
            <a:r>
              <a:rPr lang="en-US" sz="1050" baseline="0"/>
              <a:t> 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Destination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050" baseline="0"/>
              <a:t>Directory</a:t>
            </a:r>
            <a:endParaRPr lang="en-US" sz="1050"/>
          </a:p>
        </xdr:txBody>
      </xdr:sp>
      <xdr:sp macro="" textlink="">
        <xdr:nvSpPr>
          <xdr:cNvPr id="271" name="Speech Bubble: Rectangle with Corners Rounded 270" hidden="1">
            <a:extLst>
              <a:ext uri="{FF2B5EF4-FFF2-40B4-BE49-F238E27FC236}">
                <a16:creationId xmlns:a16="http://schemas.microsoft.com/office/drawing/2014/main" id="{00000000-0008-0000-0100-00000F010000}"/>
              </a:ext>
            </a:extLst>
          </xdr:cNvPr>
          <xdr:cNvSpPr/>
        </xdr:nvSpPr>
        <xdr:spPr>
          <a:xfrm>
            <a:off x="7658100" y="66675"/>
            <a:ext cx="1209676" cy="285750"/>
          </a:xfrm>
          <a:prstGeom prst="wedgeRoundRectCallout">
            <a:avLst>
              <a:gd name="adj1" fmla="val -62110"/>
              <a:gd name="adj2" fmla="val -18327"/>
              <a:gd name="adj3" fmla="val 16667"/>
            </a:avLst>
          </a:prstGeom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14:hiddenEffects>
            </a:ext>
          </a:ex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/>
              <a:t>This File Location</a:t>
            </a:r>
          </a:p>
        </xdr:txBody>
      </xdr:sp>
      <xdr:sp macro="" textlink="">
        <xdr:nvSpPr>
          <xdr:cNvPr id="272" name="Speech Bubble: Rectangle with Corners Rounded 271" hidden="1">
            <a:extLst>
              <a:ext uri="{FF2B5EF4-FFF2-40B4-BE49-F238E27FC236}">
                <a16:creationId xmlns:a16="http://schemas.microsoft.com/office/drawing/2014/main" id="{00000000-0008-0000-0100-000010010000}"/>
              </a:ext>
            </a:extLst>
          </xdr:cNvPr>
          <xdr:cNvSpPr/>
        </xdr:nvSpPr>
        <xdr:spPr>
          <a:xfrm>
            <a:off x="95250" y="1533525"/>
            <a:ext cx="1114426" cy="285750"/>
          </a:xfrm>
          <a:prstGeom prst="wedgeRoundRectCallout">
            <a:avLst>
              <a:gd name="adj1" fmla="val 167562"/>
              <a:gd name="adj2" fmla="val -214994"/>
              <a:gd name="adj3" fmla="val 16667"/>
            </a:avLst>
          </a:prstGeom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14:hiddenEffects>
            </a:ext>
          </a:ex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/>
              <a:t>Mode</a:t>
            </a:r>
            <a:r>
              <a:rPr lang="en-US" sz="1000" baseline="0"/>
              <a:t> Changer</a:t>
            </a:r>
            <a:endParaRPr lang="en-US" sz="1000"/>
          </a:p>
        </xdr:txBody>
      </xdr:sp>
      <xdr:cxnSp macro="">
        <xdr:nvCxnSpPr>
          <xdr:cNvPr id="273" name="Straight Arrow Connector 272" hidden="1">
            <a:extLst>
              <a:ext uri="{FF2B5EF4-FFF2-40B4-BE49-F238E27FC236}">
                <a16:creationId xmlns:a16="http://schemas.microsoft.com/office/drawing/2014/main" id="{00000000-0008-0000-0100-000011010000}"/>
              </a:ext>
            </a:extLst>
          </xdr:cNvPr>
          <xdr:cNvCxnSpPr/>
        </xdr:nvCxnSpPr>
        <xdr:spPr>
          <a:xfrm flipH="1" flipV="1">
            <a:off x="2857500" y="1181100"/>
            <a:ext cx="581025" cy="3533775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a14:hiddenEffects>
            </a:ext>
          </a:extLst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40" name="Straight Connector 239" hidden="1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CxnSpPr/>
        </xdr:nvCxnSpPr>
        <xdr:spPr>
          <a:xfrm>
            <a:off x="3438525" y="4705350"/>
            <a:ext cx="2047875" cy="0"/>
          </a:xfrm>
          <a:prstGeom prst="line">
            <a:avLst/>
          </a:prstGeom>
          <a:ln>
            <a:solidFill>
              <a:srgbClr val="FF0000"/>
            </a:solidFill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a14:hiddenEffects>
            </a:ext>
          </a:extLst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9" name="Label 75" hidden="1">
                <a:extLst>
                  <a:ext uri="{63B3BB69-23CF-44E3-9099-C40C66FF867C}">
                    <a14:compatExt spid="_x0000_s1099"/>
                  </a:ext>
                  <a:ext uri="{FF2B5EF4-FFF2-40B4-BE49-F238E27FC236}">
                    <a16:creationId xmlns:a16="http://schemas.microsoft.com/office/drawing/2014/main" id="{00000000-0008-0000-0100-00004B040000}"/>
                  </a:ext>
                </a:extLst>
              </xdr:cNvPr>
              <xdr:cNvSpPr/>
            </xdr:nvSpPr>
            <xdr:spPr bwMode="auto">
              <a:xfrm>
                <a:off x="5562600" y="4610100"/>
                <a:ext cx="42195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Increament And Decrement Number For "Reverse" Adjusment Image Serial</a:t>
                </a:r>
              </a:p>
            </xdr:txBody>
          </xdr:sp>
        </mc:Choice>
        <mc:Fallback/>
      </mc:AlternateContent>
      <xdr:sp macro="" textlink="">
        <xdr:nvSpPr>
          <xdr:cNvPr id="281" name="Speech Bubble: Rectangle with Corners Rounded 280" hidden="1">
            <a:extLst>
              <a:ext uri="{FF2B5EF4-FFF2-40B4-BE49-F238E27FC236}">
                <a16:creationId xmlns:a16="http://schemas.microsoft.com/office/drawing/2014/main" id="{00000000-0008-0000-0100-000019010000}"/>
              </a:ext>
            </a:extLst>
          </xdr:cNvPr>
          <xdr:cNvSpPr/>
        </xdr:nvSpPr>
        <xdr:spPr>
          <a:xfrm>
            <a:off x="57149" y="866776"/>
            <a:ext cx="1095375" cy="209550"/>
          </a:xfrm>
          <a:prstGeom prst="wedgeRoundRectCallout">
            <a:avLst>
              <a:gd name="adj1" fmla="val 170918"/>
              <a:gd name="adj2" fmla="val -116259"/>
              <a:gd name="adj3" fmla="val 16667"/>
            </a:avLst>
          </a:prstGeom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14:hiddenEffects>
            </a:ext>
          </a:ex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/>
              <a:t>Se</a:t>
            </a:r>
            <a:r>
              <a:rPr lang="en-US" sz="1000" baseline="0"/>
              <a:t>t Max Formula</a:t>
            </a:r>
            <a:endParaRPr lang="en-US" sz="1000"/>
          </a:p>
        </xdr:txBody>
      </xdr:sp>
      <xdr:sp macro="" textlink="">
        <xdr:nvSpPr>
          <xdr:cNvPr id="282" name="Speech Bubble: Rectangle with Corners Rounded 281" hidden="1">
            <a:extLst>
              <a:ext uri="{FF2B5EF4-FFF2-40B4-BE49-F238E27FC236}">
                <a16:creationId xmlns:a16="http://schemas.microsoft.com/office/drawing/2014/main" id="{00000000-0008-0000-0100-00001A010000}"/>
              </a:ext>
            </a:extLst>
          </xdr:cNvPr>
          <xdr:cNvSpPr/>
        </xdr:nvSpPr>
        <xdr:spPr>
          <a:xfrm>
            <a:off x="76199" y="1162051"/>
            <a:ext cx="1095375" cy="209550"/>
          </a:xfrm>
          <a:prstGeom prst="wedgeRoundRectCallout">
            <a:avLst>
              <a:gd name="adj1" fmla="val 111788"/>
              <a:gd name="adj2" fmla="val -107168"/>
              <a:gd name="adj3" fmla="val 16667"/>
            </a:avLst>
          </a:prstGeom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14:hiddenEffects>
            </a:ext>
          </a:ex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/>
              <a:t>Copy</a:t>
            </a:r>
            <a:r>
              <a:rPr lang="en-US" sz="1000" baseline="0"/>
              <a:t> Auto Text</a:t>
            </a:r>
            <a:endParaRPr lang="en-US" sz="1000"/>
          </a:p>
        </xdr:txBody>
      </xdr:sp>
      <xdr:sp macro="" textlink="">
        <xdr:nvSpPr>
          <xdr:cNvPr id="283" name="Speech Bubble: Rectangle with Corners Rounded 282" hidden="1">
            <a:extLst>
              <a:ext uri="{FF2B5EF4-FFF2-40B4-BE49-F238E27FC236}">
                <a16:creationId xmlns:a16="http://schemas.microsoft.com/office/drawing/2014/main" id="{00000000-0008-0000-0100-00001B010000}"/>
              </a:ext>
            </a:extLst>
          </xdr:cNvPr>
          <xdr:cNvSpPr/>
        </xdr:nvSpPr>
        <xdr:spPr>
          <a:xfrm>
            <a:off x="0" y="590551"/>
            <a:ext cx="904874" cy="200024"/>
          </a:xfrm>
          <a:prstGeom prst="wedgeRoundRectCallout">
            <a:avLst>
              <a:gd name="adj1" fmla="val 68538"/>
              <a:gd name="adj2" fmla="val -6085"/>
              <a:gd name="adj3" fmla="val 16667"/>
            </a:avLst>
          </a:prstGeom>
          <a:effectLst/>
          <a:extLst>
            <a:ext uri="{AF507438-7753-43E0-B8FC-AC1667EBCBE1}">
              <a14:hiddenEffects xmlns:a14="http://schemas.microsoft.com/office/drawing/2010/main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14:hiddenEffects>
            </a:ext>
          </a:ex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/>
              <a:t>Show/Hide</a:t>
            </a:r>
          </a:p>
        </xdr:txBody>
      </xdr:sp>
    </xdr:grpSp>
    <xdr:clientData/>
  </xdr:twoCellAnchor>
  <xdr:twoCellAnchor>
    <xdr:from>
      <xdr:col>4</xdr:col>
      <xdr:colOff>257175</xdr:colOff>
      <xdr:row>7</xdr:row>
      <xdr:rowOff>152400</xdr:rowOff>
    </xdr:from>
    <xdr:to>
      <xdr:col>5</xdr:col>
      <xdr:colOff>523875</xdr:colOff>
      <xdr:row>9</xdr:row>
      <xdr:rowOff>45720</xdr:rowOff>
    </xdr:to>
    <xdr:grpSp>
      <xdr:nvGrpSpPr>
        <xdr:cNvPr id="7" name="btn_getFileNames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638300" y="1533525"/>
          <a:ext cx="1047750" cy="274320"/>
          <a:chOff x="1685925" y="904875"/>
          <a:chExt cx="1143000" cy="314325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685925" y="904875"/>
            <a:ext cx="1143000" cy="314325"/>
          </a:xfrm>
          <a:prstGeom prst="roundRect">
            <a:avLst/>
          </a:prstGeom>
          <a:solidFill>
            <a:schemeClr val="accent4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724025" y="933450"/>
                <a:ext cx="1066800" cy="2571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Get File Names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266700</xdr:colOff>
      <xdr:row>9</xdr:row>
      <xdr:rowOff>188807</xdr:rowOff>
    </xdr:from>
    <xdr:to>
      <xdr:col>5</xdr:col>
      <xdr:colOff>501650</xdr:colOff>
      <xdr:row>11</xdr:row>
      <xdr:rowOff>82127</xdr:rowOff>
    </xdr:to>
    <xdr:grpSp>
      <xdr:nvGrpSpPr>
        <xdr:cNvPr id="8" name="btn_sor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1647825" y="1950932"/>
          <a:ext cx="1016000" cy="274320"/>
          <a:chOff x="1685925" y="1254125"/>
          <a:chExt cx="1143000" cy="314325"/>
        </a:xfrm>
      </xdr:grpSpPr>
      <xdr:sp macro="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685925" y="1254125"/>
            <a:ext cx="1143000" cy="314325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724025" y="1276350"/>
                <a:ext cx="1066800" cy="2571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Sort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266700</xdr:colOff>
      <xdr:row>12</xdr:row>
      <xdr:rowOff>28364</xdr:rowOff>
    </xdr:from>
    <xdr:to>
      <xdr:col>5</xdr:col>
      <xdr:colOff>501650</xdr:colOff>
      <xdr:row>13</xdr:row>
      <xdr:rowOff>112184</xdr:rowOff>
    </xdr:to>
    <xdr:grpSp>
      <xdr:nvGrpSpPr>
        <xdr:cNvPr id="9" name="btn_renameFiles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647825" y="2361989"/>
          <a:ext cx="1016000" cy="274320"/>
          <a:chOff x="1685925" y="1603375"/>
          <a:chExt cx="1143000" cy="314325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685925" y="1603375"/>
            <a:ext cx="1143000" cy="314325"/>
          </a:xfrm>
          <a:prstGeom prst="roundRect">
            <a:avLst/>
          </a:prstGeom>
          <a:solidFill>
            <a:schemeClr val="accent3">
              <a:lumMod val="7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724025" y="1628775"/>
                <a:ext cx="1066800" cy="2571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Rename Files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266700</xdr:colOff>
      <xdr:row>14</xdr:row>
      <xdr:rowOff>66675</xdr:rowOff>
    </xdr:from>
    <xdr:to>
      <xdr:col>5</xdr:col>
      <xdr:colOff>501650</xdr:colOff>
      <xdr:row>15</xdr:row>
      <xdr:rowOff>150495</xdr:rowOff>
    </xdr:to>
    <xdr:grpSp>
      <xdr:nvGrpSpPr>
        <xdr:cNvPr id="10" name="btn_clearDataLeft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47825" y="2781300"/>
          <a:ext cx="1016000" cy="274320"/>
          <a:chOff x="1685925" y="1952625"/>
          <a:chExt cx="1143000" cy="314325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685925" y="1952625"/>
            <a:ext cx="1143000" cy="314325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724025" y="1971674"/>
                <a:ext cx="1066800" cy="2571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Data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319405</xdr:colOff>
      <xdr:row>6</xdr:row>
      <xdr:rowOff>171450</xdr:rowOff>
    </xdr:from>
    <xdr:to>
      <xdr:col>10</xdr:col>
      <xdr:colOff>534670</xdr:colOff>
      <xdr:row>8</xdr:row>
      <xdr:rowOff>64770</xdr:rowOff>
    </xdr:to>
    <xdr:grpSp>
      <xdr:nvGrpSpPr>
        <xdr:cNvPr id="177" name="btn_paste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GrpSpPr/>
      </xdr:nvGrpSpPr>
      <xdr:grpSpPr>
        <a:xfrm>
          <a:off x="4853305" y="1362075"/>
          <a:ext cx="1005840" cy="274320"/>
          <a:chOff x="1685925" y="904875"/>
          <a:chExt cx="1143000" cy="314325"/>
        </a:xfrm>
      </xdr:grpSpPr>
      <xdr:sp macro="" textlink="">
        <xdr:nvSpPr>
          <xdr:cNvPr id="178" name="Rectangle: Rounded Corners 177">
            <a:extLst>
              <a:ext uri="{FF2B5EF4-FFF2-40B4-BE49-F238E27FC236}">
                <a16:creationId xmlns:a16="http://schemas.microsoft.com/office/drawing/2014/main" id="{00000000-0008-0000-0100-0000B2000000}"/>
              </a:ext>
            </a:extLst>
          </xdr:cNvPr>
          <xdr:cNvSpPr/>
        </xdr:nvSpPr>
        <xdr:spPr>
          <a:xfrm>
            <a:off x="1685925" y="904875"/>
            <a:ext cx="1143000" cy="314325"/>
          </a:xfrm>
          <a:prstGeom prst="roundRect">
            <a:avLst/>
          </a:prstGeom>
          <a:solidFill>
            <a:schemeClr val="accent4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31" name="Button 107" hidden="1">
                <a:extLst>
                  <a:ext uri="{63B3BB69-23CF-44E3-9099-C40C66FF867C}">
                    <a14:compatExt spid="_x0000_s1131"/>
                  </a:ext>
                  <a:ext uri="{FF2B5EF4-FFF2-40B4-BE49-F238E27FC236}">
                    <a16:creationId xmlns:a16="http://schemas.microsoft.com/office/drawing/2014/main" id="{00000000-0008-0000-0100-00006B040000}"/>
                  </a:ext>
                </a:extLst>
              </xdr:cNvPr>
              <xdr:cNvSpPr/>
            </xdr:nvSpPr>
            <xdr:spPr bwMode="auto">
              <a:xfrm>
                <a:off x="1750831" y="937617"/>
                <a:ext cx="1028051" cy="2510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Paste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133350</xdr:rowOff>
        </xdr:from>
        <xdr:to>
          <xdr:col>10</xdr:col>
          <xdr:colOff>466725</xdr:colOff>
          <xdr:row>13</xdr:row>
          <xdr:rowOff>85725</xdr:rowOff>
        </xdr:to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4733925" y="1514475"/>
              <a:ext cx="1057275" cy="1095375"/>
              <a:chOff x="4733925" y="1514475"/>
              <a:chExt cx="1057275" cy="1095375"/>
            </a:xfrm>
          </xdr:grpSpPr>
          <xdr:sp macro="" textlink="">
            <xdr:nvSpPr>
              <xdr:cNvPr id="1119" name="Label15" hidden="1">
                <a:extLst>
                  <a:ext uri="{63B3BB69-23CF-44E3-9099-C40C66FF867C}">
                    <a14:compatExt spid="_x0000_s1119"/>
                  </a:ext>
                  <a:ext uri="{FF2B5EF4-FFF2-40B4-BE49-F238E27FC236}">
                    <a16:creationId xmlns:a16="http://schemas.microsoft.com/office/drawing/2014/main" id="{00000000-0008-0000-0100-00005F040000}"/>
                  </a:ext>
                </a:extLst>
              </xdr:cNvPr>
              <xdr:cNvSpPr/>
            </xdr:nvSpPr>
            <xdr:spPr bwMode="auto">
              <a:xfrm>
                <a:off x="4762500" y="1514475"/>
                <a:ext cx="1028700" cy="38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0" name="Label16" hidden="1">
                <a:extLst>
                  <a:ext uri="{63B3BB69-23CF-44E3-9099-C40C66FF867C}">
                    <a14:compatExt spid="_x0000_s1120"/>
                  </a:ext>
                  <a:ext uri="{FF2B5EF4-FFF2-40B4-BE49-F238E27FC236}">
                    <a16:creationId xmlns:a16="http://schemas.microsoft.com/office/drawing/2014/main" id="{00000000-0008-0000-0100-000060040000}"/>
                  </a:ext>
                </a:extLst>
              </xdr:cNvPr>
              <xdr:cNvSpPr/>
            </xdr:nvSpPr>
            <xdr:spPr bwMode="auto">
              <a:xfrm>
                <a:off x="4752975" y="1762125"/>
                <a:ext cx="1028700" cy="38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4" name="Label20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100-000064040000}"/>
                  </a:ext>
                </a:extLst>
              </xdr:cNvPr>
              <xdr:cNvSpPr/>
            </xdr:nvSpPr>
            <xdr:spPr bwMode="auto">
              <a:xfrm>
                <a:off x="4743450" y="1924050"/>
                <a:ext cx="1028700" cy="38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5" name="Label21" hidden="1">
                <a:extLst>
                  <a:ext uri="{63B3BB69-23CF-44E3-9099-C40C66FF867C}">
                    <a14:compatExt spid="_x0000_s1125"/>
                  </a:ext>
                  <a:ext uri="{FF2B5EF4-FFF2-40B4-BE49-F238E27FC236}">
                    <a16:creationId xmlns:a16="http://schemas.microsoft.com/office/drawing/2014/main" id="{00000000-0008-0000-0100-000065040000}"/>
                  </a:ext>
                </a:extLst>
              </xdr:cNvPr>
              <xdr:cNvSpPr/>
            </xdr:nvSpPr>
            <xdr:spPr bwMode="auto">
              <a:xfrm>
                <a:off x="4733925" y="2171700"/>
                <a:ext cx="1028700" cy="38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" name="Label22" hidden="1">
                <a:extLst>
                  <a:ext uri="{63B3BB69-23CF-44E3-9099-C40C66FF867C}">
                    <a14:compatExt spid="_x0000_s1126"/>
                  </a:ext>
                  <a:ext uri="{FF2B5EF4-FFF2-40B4-BE49-F238E27FC236}">
                    <a16:creationId xmlns:a16="http://schemas.microsoft.com/office/drawing/2014/main" id="{00000000-0008-0000-0100-000066040000}"/>
                  </a:ext>
                </a:extLst>
              </xdr:cNvPr>
              <xdr:cNvSpPr/>
            </xdr:nvSpPr>
            <xdr:spPr bwMode="auto">
              <a:xfrm>
                <a:off x="4752975" y="2324100"/>
                <a:ext cx="1028700" cy="38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7" name="Label23" hidden="1">
                <a:extLst>
                  <a:ext uri="{63B3BB69-23CF-44E3-9099-C40C66FF867C}">
                    <a14:compatExt spid="_x0000_s1127"/>
                  </a:ext>
                  <a:ext uri="{FF2B5EF4-FFF2-40B4-BE49-F238E27FC236}">
                    <a16:creationId xmlns:a16="http://schemas.microsoft.com/office/drawing/2014/main" id="{00000000-0008-0000-0100-000067040000}"/>
                  </a:ext>
                </a:extLst>
              </xdr:cNvPr>
              <xdr:cNvSpPr/>
            </xdr:nvSpPr>
            <xdr:spPr bwMode="auto">
              <a:xfrm>
                <a:off x="4743450" y="2571750"/>
                <a:ext cx="1028700" cy="38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4</xdr:col>
      <xdr:colOff>79375</xdr:colOff>
      <xdr:row>20</xdr:row>
      <xdr:rowOff>114032</xdr:rowOff>
    </xdr:from>
    <xdr:to>
      <xdr:col>5</xdr:col>
      <xdr:colOff>76977</xdr:colOff>
      <xdr:row>22</xdr:row>
      <xdr:rowOff>9525</xdr:rowOff>
    </xdr:to>
    <xdr:pic>
      <xdr:nvPicPr>
        <xdr:cNvPr id="46" name="bullet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rcRect t="37985" b="37024"/>
        <a:stretch/>
      </xdr:blipFill>
      <xdr:spPr>
        <a:xfrm flipH="1">
          <a:off x="1460500" y="4009757"/>
          <a:ext cx="778652" cy="276493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20</xdr:row>
      <xdr:rowOff>104775</xdr:rowOff>
    </xdr:from>
    <xdr:to>
      <xdr:col>9</xdr:col>
      <xdr:colOff>286923</xdr:colOff>
      <xdr:row>21</xdr:row>
      <xdr:rowOff>180975</xdr:rowOff>
    </xdr:to>
    <xdr:pic>
      <xdr:nvPicPr>
        <xdr:cNvPr id="33" name="on_fire_effect" hidden="1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1800" y="4000500"/>
          <a:ext cx="579023" cy="266700"/>
        </a:xfrm>
        <a:prstGeom prst="rect">
          <a:avLst/>
        </a:prstGeom>
      </xdr:spPr>
    </xdr:pic>
    <xdr:clientData/>
  </xdr:twoCellAnchor>
  <xdr:twoCellAnchor>
    <xdr:from>
      <xdr:col>8</xdr:col>
      <xdr:colOff>276225</xdr:colOff>
      <xdr:row>19</xdr:row>
      <xdr:rowOff>66676</xdr:rowOff>
    </xdr:from>
    <xdr:to>
      <xdr:col>12</xdr:col>
      <xdr:colOff>333845</xdr:colOff>
      <xdr:row>27</xdr:row>
      <xdr:rowOff>66676</xdr:rowOff>
    </xdr:to>
    <xdr:grpSp>
      <xdr:nvGrpSpPr>
        <xdr:cNvPr id="54" name="maching_Set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GrpSpPr/>
      </xdr:nvGrpSpPr>
      <xdr:grpSpPr>
        <a:xfrm>
          <a:off x="4486275" y="3771901"/>
          <a:ext cx="2048345" cy="1524000"/>
          <a:chOff x="4486275" y="3771901"/>
          <a:chExt cx="2048345" cy="1524000"/>
        </a:xfrm>
      </xdr:grpSpPr>
      <xdr:pic macro="[0]!Fire_1">
        <xdr:nvPicPr>
          <xdr:cNvPr id="50" name="trigger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11800" y="4365659"/>
            <a:ext cx="188615" cy="199931"/>
          </a:xfrm>
          <a:prstGeom prst="rect">
            <a:avLst/>
          </a:prstGeom>
        </xdr:spPr>
      </xdr:pic>
      <xdr:pic macro="[0]!Fire_1">
        <xdr:nvPicPr>
          <xdr:cNvPr id="48" name="machine_body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86275" y="3771901"/>
            <a:ext cx="2048345" cy="1524000"/>
          </a:xfrm>
          <a:prstGeom prst="rect">
            <a:avLst/>
          </a:prstGeom>
          <a:effectLst>
            <a:outerShdw blurRad="76200" dist="12700" dir="8100000" sy="-23000" kx="800400" algn="br" rotWithShape="0">
              <a:prstClr val="black">
                <a:alpha val="20000"/>
              </a:prstClr>
            </a:outerShdw>
          </a:effectLst>
        </xdr:spPr>
      </xdr:pic>
    </xdr:grpSp>
    <xdr:clientData/>
  </xdr:twoCellAnchor>
  <xdr:twoCellAnchor editAs="oneCell">
    <xdr:from>
      <xdr:col>4</xdr:col>
      <xdr:colOff>1</xdr:colOff>
      <xdr:row>20</xdr:row>
      <xdr:rowOff>123825</xdr:rowOff>
    </xdr:from>
    <xdr:to>
      <xdr:col>4</xdr:col>
      <xdr:colOff>762001</xdr:colOff>
      <xdr:row>22</xdr:row>
      <xdr:rowOff>19050</xdr:rowOff>
    </xdr:to>
    <xdr:sp macro="" textlink="">
      <xdr:nvSpPr>
        <xdr:cNvPr id="147" name="btn_pre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381126" y="4019550"/>
          <a:ext cx="762000" cy="276225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Target</a:t>
          </a:r>
        </a:p>
      </xdr:txBody>
    </xdr:sp>
    <xdr:clientData/>
  </xdr:twoCellAnchor>
  <xdr:twoCellAnchor editAs="oneCell">
    <xdr:from>
      <xdr:col>3</xdr:col>
      <xdr:colOff>402771</xdr:colOff>
      <xdr:row>20</xdr:row>
      <xdr:rowOff>76200</xdr:rowOff>
    </xdr:from>
    <xdr:to>
      <xdr:col>5</xdr:col>
      <xdr:colOff>32658</xdr:colOff>
      <xdr:row>22</xdr:row>
      <xdr:rowOff>104775</xdr:rowOff>
    </xdr:to>
    <xdr:pic>
      <xdr:nvPicPr>
        <xdr:cNvPr id="52" name="btn_post" hidden="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171" y="3971925"/>
          <a:ext cx="877662" cy="40957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</xdr:colOff>
      <xdr:row>2</xdr:row>
      <xdr:rowOff>85725</xdr:rowOff>
    </xdr:from>
    <xdr:to>
      <xdr:col>7</xdr:col>
      <xdr:colOff>933450</xdr:colOff>
      <xdr:row>3</xdr:row>
      <xdr:rowOff>180975</xdr:rowOff>
    </xdr:to>
    <xdr:sp macro="[0]!Test_Fire" textlink="">
      <xdr:nvSpPr>
        <xdr:cNvPr id="169" name="Rectangle: Rounded Corners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3276600" y="552450"/>
          <a:ext cx="914400" cy="22860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>
          <a:ext uri="{AF507438-7753-43E0-B8FC-AC1667EBCBE1}">
            <a14:hiddenEffects xmlns:a14="http://schemas.microsoft.com/office/drawing/2010/main">
              <a:effectLst>
                <a:outerShdw blurRad="76200" dist="12700" dir="2700000" sy="-23000" kx="-800400" algn="bl" rotWithShape="0">
                  <a:prstClr val="black">
                    <a:alpha val="20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Test</a:t>
          </a:r>
          <a:r>
            <a:rPr lang="en-US" sz="1050" baseline="0"/>
            <a:t> Fire</a:t>
          </a:r>
          <a:endParaRPr lang="en-US" sz="1050"/>
        </a:p>
      </xdr:txBody>
    </xdr:sp>
    <xdr:clientData/>
  </xdr:twoCellAnchor>
  <xdr:twoCellAnchor editAs="oneCell">
    <xdr:from>
      <xdr:col>4</xdr:col>
      <xdr:colOff>723901</xdr:colOff>
      <xdr:row>20</xdr:row>
      <xdr:rowOff>171196</xdr:rowOff>
    </xdr:from>
    <xdr:to>
      <xdr:col>5</xdr:col>
      <xdr:colOff>171388</xdr:colOff>
      <xdr:row>21</xdr:row>
      <xdr:rowOff>161798</xdr:rowOff>
    </xdr:to>
    <xdr:pic>
      <xdr:nvPicPr>
        <xdr:cNvPr id="159" name="on_fire_effect_2" hidden="1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105026" y="4066921"/>
          <a:ext cx="228537" cy="181102"/>
        </a:xfrm>
        <a:prstGeom prst="rect">
          <a:avLst/>
        </a:prstGeom>
      </xdr:spPr>
    </xdr:pic>
    <xdr:clientData/>
  </xdr:twoCellAnchor>
  <xdr:twoCellAnchor>
    <xdr:from>
      <xdr:col>8</xdr:col>
      <xdr:colOff>242888</xdr:colOff>
      <xdr:row>24</xdr:row>
      <xdr:rowOff>123825</xdr:rowOff>
    </xdr:from>
    <xdr:to>
      <xdr:col>10</xdr:col>
      <xdr:colOff>71438</xdr:colOff>
      <xdr:row>27</xdr:row>
      <xdr:rowOff>114300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452938" y="4781550"/>
          <a:ext cx="942975" cy="561975"/>
          <a:chOff x="4614863" y="4714875"/>
          <a:chExt cx="942975" cy="561975"/>
        </a:xfrm>
      </xdr:grpSpPr>
      <xdr:sp macro="[0]!Fire_2" textlink="">
        <xdr:nvSpPr>
          <xdr:cNvPr id="152" name="Rectangle: Rounded Corners 151">
            <a:extLst>
              <a:ext uri="{FF2B5EF4-FFF2-40B4-BE49-F238E27FC236}">
                <a16:creationId xmlns:a16="http://schemas.microsoft.com/office/drawing/2014/main" id="{00000000-0008-0000-0100-000098000000}"/>
              </a:ext>
            </a:extLst>
          </xdr:cNvPr>
          <xdr:cNvSpPr/>
        </xdr:nvSpPr>
        <xdr:spPr>
          <a:xfrm>
            <a:off x="4619625" y="4914900"/>
            <a:ext cx="914400" cy="161925"/>
          </a:xfrm>
          <a:prstGeom prst="round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aseline="0"/>
              <a:t>Fire-1</a:t>
            </a:r>
            <a:endParaRPr lang="en-US" sz="1000"/>
          </a:p>
        </xdr:txBody>
      </xdr:sp>
      <xdr:sp macro="[0]!activeSheet1" textlink="">
        <xdr:nvSpPr>
          <xdr:cNvPr id="155" name="Rectangle: Rounded Corners 154">
            <a:extLst>
              <a:ext uri="{FF2B5EF4-FFF2-40B4-BE49-F238E27FC236}">
                <a16:creationId xmlns:a16="http://schemas.microsoft.com/office/drawing/2014/main" id="{00000000-0008-0000-0100-00009B000000}"/>
              </a:ext>
            </a:extLst>
          </xdr:cNvPr>
          <xdr:cNvSpPr/>
        </xdr:nvSpPr>
        <xdr:spPr>
          <a:xfrm>
            <a:off x="4614863" y="5114925"/>
            <a:ext cx="914400" cy="161925"/>
          </a:xfrm>
          <a:prstGeom prst="round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aseline="0"/>
              <a:t>Next</a:t>
            </a:r>
            <a:endParaRPr lang="en-US" sz="1000"/>
          </a:p>
        </xdr:txBody>
      </xdr:sp>
      <xdr:sp macro="[0]!Test_Fire" textlink="">
        <xdr:nvSpPr>
          <xdr:cNvPr id="153" name="Rectangle: Rounded Corners 152">
            <a:extLst>
              <a:ext uri="{FF2B5EF4-FFF2-40B4-BE49-F238E27FC236}">
                <a16:creationId xmlns:a16="http://schemas.microsoft.com/office/drawing/2014/main" id="{00000000-0008-0000-0100-000099000000}"/>
              </a:ext>
            </a:extLst>
          </xdr:cNvPr>
          <xdr:cNvSpPr/>
        </xdr:nvSpPr>
        <xdr:spPr>
          <a:xfrm>
            <a:off x="4619625" y="4714875"/>
            <a:ext cx="457200" cy="161925"/>
          </a:xfrm>
          <a:prstGeom prst="round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aseline="0"/>
              <a:t>Test</a:t>
            </a:r>
            <a:endParaRPr lang="en-US" sz="1000"/>
          </a:p>
        </xdr:txBody>
      </xdr:sp>
      <xdr:sp macro="[0]!Step_Fire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00000000-0008-0000-0100-00009C000000}"/>
              </a:ext>
            </a:extLst>
          </xdr:cNvPr>
          <xdr:cNvSpPr/>
        </xdr:nvSpPr>
        <xdr:spPr>
          <a:xfrm>
            <a:off x="5100638" y="4714875"/>
            <a:ext cx="457200" cy="161925"/>
          </a:xfrm>
          <a:prstGeom prst="round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aseline="0"/>
              <a:t>Step</a:t>
            </a:r>
            <a:endParaRPr lang="en-US" sz="10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2</xdr:row>
      <xdr:rowOff>152400</xdr:rowOff>
    </xdr:from>
    <xdr:to>
      <xdr:col>16</xdr:col>
      <xdr:colOff>56615</xdr:colOff>
      <xdr:row>21</xdr:row>
      <xdr:rowOff>66233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9400" y="533400"/>
          <a:ext cx="4276190" cy="353333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26" Type="http://schemas.openxmlformats.org/officeDocument/2006/relationships/ctrlProp" Target="../ctrlProps/ctrlProp1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1.xml"/><Relationship Id="rId34" Type="http://schemas.openxmlformats.org/officeDocument/2006/relationships/ctrlProp" Target="../ctrlProps/ctrlProp24.x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5" Type="http://schemas.openxmlformats.org/officeDocument/2006/relationships/ctrlProp" Target="../ctrlProps/ctrlProp15.xml"/><Relationship Id="rId33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29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.xml"/><Relationship Id="rId24" Type="http://schemas.openxmlformats.org/officeDocument/2006/relationships/ctrlProp" Target="../ctrlProps/ctrlProp14.xml"/><Relationship Id="rId32" Type="http://schemas.openxmlformats.org/officeDocument/2006/relationships/ctrlProp" Target="../ctrlProps/ctrlProp22.xml"/><Relationship Id="rId37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36" Type="http://schemas.openxmlformats.org/officeDocument/2006/relationships/ctrlProp" Target="../ctrlProps/ctrlProp26.xml"/><Relationship Id="rId10" Type="http://schemas.openxmlformats.org/officeDocument/2006/relationships/control" Target="../activeX/activeX6.xml"/><Relationship Id="rId19" Type="http://schemas.openxmlformats.org/officeDocument/2006/relationships/ctrlProp" Target="../ctrlProps/ctrlProp9.xml"/><Relationship Id="rId31" Type="http://schemas.openxmlformats.org/officeDocument/2006/relationships/ctrlProp" Target="../ctrlProps/ctrlProp2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trlProp" Target="../ctrlProps/ctrlProp4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Relationship Id="rId35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5D9AA-442A-46CF-BABC-0BB42990837A}">
  <sheetPr codeName="Sheet3"/>
  <dimension ref="A1:T445"/>
  <sheetViews>
    <sheetView showGridLines="0" showRowColHeaders="0" workbookViewId="0">
      <selection activeCell="B2" sqref="B2"/>
    </sheetView>
  </sheetViews>
  <sheetFormatPr defaultRowHeight="15"/>
  <cols>
    <col min="1" max="1" width="9.7109375" style="24" customWidth="1"/>
    <col min="2" max="2" width="34" style="16" customWidth="1"/>
    <col min="3" max="3" width="17.5703125" style="16" customWidth="1"/>
    <col min="4" max="4" width="14.28515625" style="15" customWidth="1"/>
    <col min="5" max="5" width="12" style="17" customWidth="1"/>
    <col min="6" max="6" width="16.7109375" style="15" customWidth="1"/>
    <col min="7" max="7" width="13.140625" style="18" customWidth="1"/>
    <col min="8" max="8" width="11.7109375" style="15" customWidth="1"/>
    <col min="9" max="9" width="12.28515625" style="15" customWidth="1"/>
    <col min="10" max="10" width="9.85546875" style="15" customWidth="1"/>
    <col min="11" max="11" width="18.5703125" style="15" customWidth="1"/>
    <col min="12" max="12" width="13" style="15" customWidth="1"/>
    <col min="13" max="13" width="13.5703125" style="18" customWidth="1"/>
    <col min="14" max="14" width="13.28515625" style="18" customWidth="1"/>
    <col min="15" max="15" width="15.5703125" style="19" bestFit="1" customWidth="1"/>
    <col min="16" max="16" width="18" style="20" customWidth="1"/>
    <col min="17" max="17" width="9.140625" style="17"/>
    <col min="18" max="18" width="11.140625" style="17" bestFit="1" customWidth="1"/>
    <col min="19" max="20" width="9.140625" style="25"/>
    <col min="21" max="16384" width="9.140625" style="17"/>
  </cols>
  <sheetData>
    <row r="1" spans="1:20" customFormat="1" ht="26.25" customHeight="1">
      <c r="A1" s="9" t="s">
        <v>3</v>
      </c>
      <c r="B1" s="9" t="s">
        <v>4</v>
      </c>
      <c r="C1" s="9" t="s">
        <v>5</v>
      </c>
      <c r="D1" s="9" t="s">
        <v>6</v>
      </c>
      <c r="E1" s="10" t="s">
        <v>7</v>
      </c>
      <c r="F1" s="9" t="s">
        <v>8</v>
      </c>
      <c r="G1" s="11" t="s">
        <v>9</v>
      </c>
      <c r="H1" s="9" t="s">
        <v>10</v>
      </c>
      <c r="I1" s="9" t="s">
        <v>11</v>
      </c>
      <c r="J1" s="9" t="s">
        <v>12</v>
      </c>
      <c r="K1" s="9" t="s">
        <v>13</v>
      </c>
      <c r="L1" s="9" t="s">
        <v>14</v>
      </c>
      <c r="M1" s="11" t="s">
        <v>15</v>
      </c>
      <c r="N1" s="11" t="s">
        <v>16</v>
      </c>
      <c r="O1" s="12" t="s">
        <v>17</v>
      </c>
      <c r="P1" s="13" t="s">
        <v>18</v>
      </c>
      <c r="R1" s="14"/>
      <c r="S1" s="14"/>
      <c r="T1" s="14"/>
    </row>
    <row r="2" spans="1:20" s="21" customFormat="1" ht="15.75">
      <c r="A2" s="15"/>
      <c r="B2" s="51"/>
      <c r="C2" s="16"/>
      <c r="D2" s="15"/>
      <c r="E2" s="17"/>
      <c r="F2" s="15"/>
      <c r="G2" s="18"/>
      <c r="H2" s="15"/>
      <c r="I2" s="15"/>
      <c r="J2" s="15"/>
      <c r="K2" s="15"/>
      <c r="L2" s="15"/>
      <c r="M2" s="18"/>
      <c r="N2" s="18"/>
      <c r="O2" s="19"/>
      <c r="P2" s="20"/>
      <c r="R2" s="17"/>
      <c r="S2" s="22"/>
      <c r="T2" s="22"/>
    </row>
    <row r="3" spans="1:20" s="21" customFormat="1" ht="15.75">
      <c r="A3" s="15"/>
      <c r="B3" s="16"/>
      <c r="C3" s="16"/>
      <c r="D3" s="15"/>
      <c r="E3" s="17"/>
      <c r="F3" s="15"/>
      <c r="G3" s="18"/>
      <c r="H3" s="15"/>
      <c r="I3" s="15"/>
      <c r="J3" s="15"/>
      <c r="K3" s="15"/>
      <c r="L3" s="15"/>
      <c r="M3" s="18"/>
      <c r="N3" s="18"/>
      <c r="O3" s="19"/>
      <c r="P3" s="20"/>
      <c r="R3" s="17"/>
      <c r="S3" s="22"/>
      <c r="T3" s="22"/>
    </row>
    <row r="4" spans="1:20" s="21" customFormat="1" ht="15.75">
      <c r="A4" s="15"/>
      <c r="B4" s="16"/>
      <c r="C4" s="16"/>
      <c r="D4" s="15"/>
      <c r="E4" s="17"/>
      <c r="F4" s="15"/>
      <c r="G4" s="18"/>
      <c r="H4" s="15"/>
      <c r="I4" s="15"/>
      <c r="J4" s="15"/>
      <c r="K4" s="15"/>
      <c r="L4" s="15"/>
      <c r="M4" s="18"/>
      <c r="N4" s="18"/>
      <c r="O4" s="19"/>
      <c r="P4" s="20"/>
      <c r="R4" s="17"/>
      <c r="S4" s="22"/>
      <c r="T4" s="22"/>
    </row>
    <row r="5" spans="1:20" s="21" customFormat="1" ht="15.75">
      <c r="A5" s="15"/>
      <c r="B5" s="16"/>
      <c r="C5" s="16"/>
      <c r="D5" s="15"/>
      <c r="E5" s="17"/>
      <c r="F5" s="15"/>
      <c r="G5" s="18"/>
      <c r="H5" s="15"/>
      <c r="I5" s="15"/>
      <c r="J5" s="15"/>
      <c r="K5" s="15"/>
      <c r="L5" s="15"/>
      <c r="M5" s="18"/>
      <c r="N5" s="18"/>
      <c r="O5" s="19"/>
      <c r="P5" s="20"/>
      <c r="R5" s="17"/>
      <c r="S5" s="22"/>
      <c r="T5" s="22"/>
    </row>
    <row r="6" spans="1:20" s="21" customFormat="1" ht="15.75">
      <c r="A6" s="15"/>
      <c r="B6" s="16"/>
      <c r="C6" s="16"/>
      <c r="D6" s="15"/>
      <c r="E6" s="17"/>
      <c r="F6" s="15"/>
      <c r="G6" s="18"/>
      <c r="H6" s="15"/>
      <c r="I6" s="15"/>
      <c r="J6" s="15"/>
      <c r="K6" s="15"/>
      <c r="L6" s="15"/>
      <c r="M6" s="18"/>
      <c r="N6" s="18"/>
      <c r="O6" s="19"/>
      <c r="P6" s="20"/>
      <c r="R6" s="17"/>
      <c r="S6" s="22"/>
      <c r="T6" s="22"/>
    </row>
    <row r="7" spans="1:20" s="21" customFormat="1" ht="15.75">
      <c r="A7" s="15"/>
      <c r="B7" s="16"/>
      <c r="C7" s="16"/>
      <c r="D7" s="15"/>
      <c r="E7" s="17"/>
      <c r="F7" s="15"/>
      <c r="G7" s="18"/>
      <c r="H7" s="15"/>
      <c r="I7" s="15"/>
      <c r="J7" s="15"/>
      <c r="K7" s="15"/>
      <c r="L7" s="15"/>
      <c r="M7" s="18"/>
      <c r="N7" s="18"/>
      <c r="O7" s="19"/>
      <c r="P7" s="20"/>
      <c r="R7" s="17"/>
      <c r="S7" s="22"/>
      <c r="T7" s="22"/>
    </row>
    <row r="8" spans="1:20" s="21" customFormat="1" ht="15.75">
      <c r="A8" s="15"/>
      <c r="B8" s="16"/>
      <c r="C8" s="16"/>
      <c r="D8" s="15"/>
      <c r="E8" s="17"/>
      <c r="F8" s="15"/>
      <c r="G8" s="18"/>
      <c r="H8" s="15"/>
      <c r="I8" s="15"/>
      <c r="J8" s="15"/>
      <c r="K8" s="15"/>
      <c r="L8" s="15"/>
      <c r="M8" s="18"/>
      <c r="N8" s="18"/>
      <c r="O8" s="19"/>
      <c r="P8" s="20"/>
      <c r="R8" s="17"/>
      <c r="S8" s="22"/>
      <c r="T8" s="22"/>
    </row>
    <row r="9" spans="1:20" s="21" customFormat="1" ht="15.75">
      <c r="A9" s="15"/>
      <c r="B9" s="16"/>
      <c r="C9" s="16"/>
      <c r="D9" s="15"/>
      <c r="E9" s="17"/>
      <c r="F9" s="15"/>
      <c r="G9" s="18"/>
      <c r="H9" s="15"/>
      <c r="I9" s="15"/>
      <c r="J9" s="15"/>
      <c r="K9" s="15"/>
      <c r="L9" s="15"/>
      <c r="M9" s="18"/>
      <c r="N9" s="18"/>
      <c r="O9" s="19"/>
      <c r="P9" s="20"/>
      <c r="R9" s="17"/>
      <c r="S9" s="22"/>
      <c r="T9" s="22"/>
    </row>
    <row r="10" spans="1:20" s="21" customFormat="1" ht="15.75">
      <c r="A10" s="15"/>
      <c r="B10" s="16"/>
      <c r="C10" s="16"/>
      <c r="D10" s="15"/>
      <c r="E10" s="17"/>
      <c r="F10" s="15"/>
      <c r="G10" s="18"/>
      <c r="H10" s="15"/>
      <c r="I10" s="15"/>
      <c r="J10" s="15"/>
      <c r="K10" s="15"/>
      <c r="L10" s="15"/>
      <c r="M10" s="18"/>
      <c r="N10" s="18"/>
      <c r="O10" s="19"/>
      <c r="P10" s="20"/>
      <c r="R10" s="17"/>
      <c r="S10" s="22"/>
      <c r="T10" s="22"/>
    </row>
    <row r="11" spans="1:20" s="21" customFormat="1" ht="15.75">
      <c r="A11" s="15"/>
      <c r="B11" s="16"/>
      <c r="C11" s="16"/>
      <c r="D11" s="15"/>
      <c r="E11" s="17"/>
      <c r="F11" s="15"/>
      <c r="G11" s="18"/>
      <c r="H11" s="15"/>
      <c r="I11" s="15"/>
      <c r="J11" s="15"/>
      <c r="K11" s="15"/>
      <c r="L11" s="15"/>
      <c r="M11" s="18"/>
      <c r="N11" s="18"/>
      <c r="O11" s="19"/>
      <c r="P11" s="20"/>
      <c r="R11" s="17"/>
      <c r="S11" s="22"/>
      <c r="T11" s="22"/>
    </row>
    <row r="12" spans="1:20" s="21" customFormat="1" ht="15.75">
      <c r="A12" s="15"/>
      <c r="B12" s="16"/>
      <c r="C12" s="16"/>
      <c r="D12" s="15"/>
      <c r="E12" s="17"/>
      <c r="F12" s="15"/>
      <c r="G12" s="18"/>
      <c r="H12" s="15"/>
      <c r="I12" s="15"/>
      <c r="J12" s="15"/>
      <c r="K12" s="15"/>
      <c r="L12" s="15"/>
      <c r="M12" s="18"/>
      <c r="N12" s="18"/>
      <c r="O12" s="19"/>
      <c r="P12" s="20"/>
      <c r="R12" s="17"/>
      <c r="S12" s="22"/>
      <c r="T12" s="22"/>
    </row>
    <row r="13" spans="1:20" s="21" customFormat="1" ht="15.75">
      <c r="A13" s="15"/>
      <c r="B13" s="16"/>
      <c r="C13" s="16"/>
      <c r="D13" s="15"/>
      <c r="E13" s="17"/>
      <c r="F13" s="15"/>
      <c r="G13" s="18"/>
      <c r="H13" s="15"/>
      <c r="I13" s="15"/>
      <c r="J13" s="15"/>
      <c r="K13" s="15"/>
      <c r="L13" s="15"/>
      <c r="M13" s="18"/>
      <c r="N13" s="18"/>
      <c r="O13" s="19"/>
      <c r="P13" s="20"/>
      <c r="R13" s="17"/>
      <c r="S13" s="22"/>
      <c r="T13" s="22"/>
    </row>
    <row r="14" spans="1:20" s="21" customFormat="1" ht="15.75">
      <c r="A14" s="15"/>
      <c r="B14" s="16"/>
      <c r="C14" s="16"/>
      <c r="D14" s="15"/>
      <c r="E14" s="17"/>
      <c r="F14" s="15"/>
      <c r="G14" s="18"/>
      <c r="H14" s="15"/>
      <c r="I14" s="15"/>
      <c r="J14" s="15"/>
      <c r="K14" s="15"/>
      <c r="L14" s="15"/>
      <c r="M14" s="18"/>
      <c r="N14" s="18"/>
      <c r="O14" s="19"/>
      <c r="P14" s="20"/>
      <c r="R14" s="17"/>
      <c r="S14" s="22"/>
      <c r="T14" s="22"/>
    </row>
    <row r="15" spans="1:20" s="21" customFormat="1" ht="15.75">
      <c r="A15" s="15"/>
      <c r="B15" s="16"/>
      <c r="C15" s="16"/>
      <c r="D15" s="15"/>
      <c r="E15" s="17"/>
      <c r="F15" s="15"/>
      <c r="G15" s="18"/>
      <c r="H15" s="15"/>
      <c r="I15" s="15"/>
      <c r="J15" s="15"/>
      <c r="K15" s="15"/>
      <c r="L15" s="15"/>
      <c r="M15" s="18"/>
      <c r="N15" s="18"/>
      <c r="O15" s="19"/>
      <c r="P15" s="20"/>
      <c r="R15" s="17"/>
      <c r="S15" s="22"/>
      <c r="T15" s="22"/>
    </row>
    <row r="16" spans="1:20" s="21" customFormat="1" ht="15.75">
      <c r="A16" s="15"/>
      <c r="B16" s="16"/>
      <c r="C16" s="16"/>
      <c r="D16" s="15"/>
      <c r="E16" s="17"/>
      <c r="F16" s="15"/>
      <c r="G16" s="18"/>
      <c r="H16" s="15"/>
      <c r="I16" s="15"/>
      <c r="J16" s="15"/>
      <c r="K16" s="15"/>
      <c r="L16" s="15"/>
      <c r="M16" s="18"/>
      <c r="N16" s="18"/>
      <c r="O16" s="19"/>
      <c r="P16" s="20"/>
      <c r="R16" s="17"/>
      <c r="S16" s="22"/>
      <c r="T16" s="22"/>
    </row>
    <row r="17" spans="1:20" s="21" customFormat="1" ht="15.75">
      <c r="A17" s="15"/>
      <c r="B17" s="16"/>
      <c r="C17" s="16"/>
      <c r="D17" s="15"/>
      <c r="E17" s="17"/>
      <c r="F17" s="15"/>
      <c r="G17" s="18"/>
      <c r="H17" s="15"/>
      <c r="I17" s="15"/>
      <c r="J17" s="15"/>
      <c r="K17" s="15"/>
      <c r="L17" s="15"/>
      <c r="M17" s="18"/>
      <c r="N17" s="18"/>
      <c r="O17" s="19"/>
      <c r="P17" s="20"/>
      <c r="R17" s="17"/>
      <c r="S17" s="22"/>
      <c r="T17" s="22"/>
    </row>
    <row r="18" spans="1:20" s="21" customFormat="1" ht="15.75">
      <c r="A18" s="15"/>
      <c r="B18" s="16"/>
      <c r="C18" s="16"/>
      <c r="D18" s="15"/>
      <c r="E18" s="17"/>
      <c r="F18" s="15"/>
      <c r="G18" s="18"/>
      <c r="H18" s="15"/>
      <c r="I18" s="15"/>
      <c r="J18" s="15"/>
      <c r="K18" s="15"/>
      <c r="L18" s="15"/>
      <c r="M18" s="18"/>
      <c r="N18" s="18"/>
      <c r="O18" s="19"/>
      <c r="P18" s="20"/>
      <c r="R18" s="17"/>
      <c r="S18" s="22"/>
      <c r="T18" s="22"/>
    </row>
    <row r="19" spans="1:20" s="21" customFormat="1" ht="15.75">
      <c r="A19" s="15"/>
      <c r="B19" s="16"/>
      <c r="C19" s="16"/>
      <c r="D19" s="15"/>
      <c r="E19" s="17"/>
      <c r="F19" s="15"/>
      <c r="G19" s="18"/>
      <c r="H19" s="15"/>
      <c r="I19" s="15"/>
      <c r="J19" s="15"/>
      <c r="K19" s="15"/>
      <c r="L19" s="15"/>
      <c r="M19" s="18"/>
      <c r="N19" s="18"/>
      <c r="O19" s="19"/>
      <c r="P19" s="20"/>
      <c r="R19" s="17"/>
      <c r="S19" s="22"/>
      <c r="T19" s="22"/>
    </row>
    <row r="20" spans="1:20" s="21" customFormat="1" ht="15.75">
      <c r="A20" s="15"/>
      <c r="B20" s="16"/>
      <c r="C20" s="16"/>
      <c r="D20" s="15"/>
      <c r="E20" s="17"/>
      <c r="F20" s="15"/>
      <c r="G20" s="18"/>
      <c r="H20" s="15"/>
      <c r="I20" s="15"/>
      <c r="J20" s="15"/>
      <c r="K20" s="15"/>
      <c r="L20" s="15"/>
      <c r="M20" s="18"/>
      <c r="N20" s="18"/>
      <c r="O20" s="19"/>
      <c r="P20" s="20"/>
      <c r="R20" s="17"/>
      <c r="S20" s="22"/>
      <c r="T20" s="22"/>
    </row>
    <row r="21" spans="1:20" s="21" customFormat="1" ht="15.75">
      <c r="A21" s="15"/>
      <c r="B21" s="16"/>
      <c r="C21" s="16"/>
      <c r="D21" s="15"/>
      <c r="E21" s="17"/>
      <c r="F21" s="15"/>
      <c r="G21" s="18"/>
      <c r="H21" s="15"/>
      <c r="I21" s="15"/>
      <c r="J21" s="15"/>
      <c r="K21" s="15"/>
      <c r="L21" s="15"/>
      <c r="M21" s="18"/>
      <c r="N21" s="18"/>
      <c r="O21" s="19"/>
      <c r="P21" s="20"/>
      <c r="R21" s="17"/>
      <c r="S21" s="22"/>
      <c r="T21" s="22"/>
    </row>
    <row r="22" spans="1:20" s="21" customFormat="1" ht="15.75">
      <c r="A22" s="15"/>
      <c r="B22" s="16"/>
      <c r="C22" s="16"/>
      <c r="D22" s="15"/>
      <c r="E22" s="17"/>
      <c r="F22" s="15"/>
      <c r="G22" s="18"/>
      <c r="H22" s="15"/>
      <c r="I22" s="15"/>
      <c r="J22" s="15"/>
      <c r="K22" s="15"/>
      <c r="L22" s="15"/>
      <c r="M22" s="18"/>
      <c r="N22" s="18"/>
      <c r="O22" s="19"/>
      <c r="P22" s="20"/>
      <c r="R22" s="17"/>
      <c r="S22" s="22"/>
      <c r="T22" s="22"/>
    </row>
    <row r="23" spans="1:20" s="21" customFormat="1" ht="15.75">
      <c r="A23" s="15"/>
      <c r="B23" s="16"/>
      <c r="C23" s="16"/>
      <c r="D23" s="15"/>
      <c r="E23" s="17"/>
      <c r="F23" s="15"/>
      <c r="G23" s="18"/>
      <c r="H23" s="15"/>
      <c r="I23" s="15"/>
      <c r="J23" s="15"/>
      <c r="K23" s="15"/>
      <c r="L23" s="15"/>
      <c r="M23" s="18"/>
      <c r="N23" s="18"/>
      <c r="O23" s="19"/>
      <c r="P23" s="20"/>
      <c r="R23" s="17"/>
      <c r="S23" s="22"/>
      <c r="T23" s="22"/>
    </row>
    <row r="24" spans="1:20" s="21" customFormat="1" ht="15.75">
      <c r="A24" s="15"/>
      <c r="B24" s="16"/>
      <c r="C24" s="16"/>
      <c r="D24" s="15"/>
      <c r="E24" s="17"/>
      <c r="F24" s="15"/>
      <c r="G24" s="18"/>
      <c r="H24" s="15"/>
      <c r="I24" s="15"/>
      <c r="J24" s="15"/>
      <c r="K24" s="15"/>
      <c r="L24" s="15"/>
      <c r="M24" s="18"/>
      <c r="N24" s="18"/>
      <c r="O24" s="19"/>
      <c r="P24" s="20"/>
      <c r="R24" s="17"/>
      <c r="S24" s="22"/>
      <c r="T24" s="22"/>
    </row>
    <row r="25" spans="1:20" s="21" customFormat="1" ht="15.75">
      <c r="A25" s="15"/>
      <c r="B25" s="16"/>
      <c r="C25" s="16"/>
      <c r="D25" s="15"/>
      <c r="E25" s="17"/>
      <c r="F25" s="15"/>
      <c r="G25" s="18"/>
      <c r="H25" s="15"/>
      <c r="I25" s="15"/>
      <c r="J25" s="15"/>
      <c r="K25" s="15"/>
      <c r="L25" s="15"/>
      <c r="M25" s="18"/>
      <c r="N25" s="18"/>
      <c r="O25" s="19"/>
      <c r="P25" s="20"/>
      <c r="R25" s="17"/>
      <c r="S25" s="22"/>
      <c r="T25" s="22"/>
    </row>
    <row r="26" spans="1:20" s="21" customFormat="1" ht="15.75">
      <c r="A26" s="15"/>
      <c r="B26" s="16"/>
      <c r="C26" s="16"/>
      <c r="D26" s="15"/>
      <c r="E26" s="17"/>
      <c r="F26" s="15"/>
      <c r="G26" s="18"/>
      <c r="H26" s="15"/>
      <c r="I26" s="15"/>
      <c r="J26" s="15"/>
      <c r="K26" s="15"/>
      <c r="L26" s="15"/>
      <c r="M26" s="18"/>
      <c r="N26" s="18"/>
      <c r="O26" s="19"/>
      <c r="P26" s="20"/>
      <c r="R26" s="17"/>
      <c r="S26" s="22"/>
      <c r="T26" s="22"/>
    </row>
    <row r="27" spans="1:20" s="21" customFormat="1" ht="15.75">
      <c r="A27" s="15"/>
      <c r="B27" s="16"/>
      <c r="C27" s="16"/>
      <c r="D27" s="15"/>
      <c r="E27" s="17"/>
      <c r="F27" s="15"/>
      <c r="G27" s="18"/>
      <c r="H27" s="15"/>
      <c r="I27" s="15"/>
      <c r="J27" s="15"/>
      <c r="K27" s="15"/>
      <c r="L27" s="15"/>
      <c r="M27" s="18"/>
      <c r="N27" s="18"/>
      <c r="O27" s="19"/>
      <c r="P27" s="20"/>
      <c r="R27" s="17"/>
      <c r="S27" s="22"/>
      <c r="T27" s="22"/>
    </row>
    <row r="28" spans="1:20" s="21" customFormat="1" ht="15.75">
      <c r="A28" s="15"/>
      <c r="B28" s="16"/>
      <c r="C28" s="16"/>
      <c r="D28" s="15"/>
      <c r="E28" s="17"/>
      <c r="F28" s="15"/>
      <c r="G28" s="18"/>
      <c r="H28" s="15"/>
      <c r="I28" s="15"/>
      <c r="J28" s="15"/>
      <c r="K28" s="15"/>
      <c r="L28" s="15"/>
      <c r="M28" s="18"/>
      <c r="N28" s="18"/>
      <c r="O28" s="19"/>
      <c r="P28" s="20"/>
      <c r="R28" s="17"/>
      <c r="S28" s="22"/>
      <c r="T28" s="22"/>
    </row>
    <row r="29" spans="1:20" s="21" customFormat="1" ht="15.75">
      <c r="A29" s="15"/>
      <c r="B29" s="16"/>
      <c r="C29" s="16"/>
      <c r="D29" s="15"/>
      <c r="E29" s="17"/>
      <c r="F29" s="15"/>
      <c r="G29" s="18"/>
      <c r="H29" s="15"/>
      <c r="I29" s="15"/>
      <c r="J29" s="15"/>
      <c r="K29" s="15"/>
      <c r="L29" s="15"/>
      <c r="M29" s="18"/>
      <c r="N29" s="18"/>
      <c r="O29" s="19"/>
      <c r="P29" s="20"/>
      <c r="R29" s="17"/>
      <c r="S29" s="22"/>
      <c r="T29" s="22"/>
    </row>
    <row r="30" spans="1:20" s="21" customFormat="1" ht="15.75">
      <c r="A30" s="15"/>
      <c r="B30" s="16"/>
      <c r="C30" s="16"/>
      <c r="D30" s="15"/>
      <c r="E30" s="17"/>
      <c r="F30" s="15"/>
      <c r="G30" s="18"/>
      <c r="H30" s="15"/>
      <c r="I30" s="15"/>
      <c r="J30" s="15"/>
      <c r="K30" s="15"/>
      <c r="L30" s="15"/>
      <c r="M30" s="18"/>
      <c r="N30" s="18"/>
      <c r="O30" s="19"/>
      <c r="P30" s="20"/>
      <c r="R30" s="17"/>
      <c r="S30" s="22"/>
      <c r="T30" s="22"/>
    </row>
    <row r="31" spans="1:20" s="21" customFormat="1" ht="15.75">
      <c r="A31" s="15"/>
      <c r="B31" s="16"/>
      <c r="C31" s="16"/>
      <c r="D31" s="15"/>
      <c r="E31" s="17"/>
      <c r="F31" s="15"/>
      <c r="G31" s="18"/>
      <c r="H31" s="15"/>
      <c r="I31" s="15"/>
      <c r="J31" s="15"/>
      <c r="K31" s="15"/>
      <c r="L31" s="15"/>
      <c r="M31" s="18"/>
      <c r="N31" s="18"/>
      <c r="O31" s="19"/>
      <c r="P31" s="20"/>
      <c r="R31" s="17"/>
      <c r="S31" s="22"/>
      <c r="T31" s="22"/>
    </row>
    <row r="32" spans="1:20" s="21" customFormat="1" ht="15.75">
      <c r="A32" s="15"/>
      <c r="B32" s="16"/>
      <c r="C32" s="16"/>
      <c r="D32" s="15"/>
      <c r="E32" s="17"/>
      <c r="F32" s="15"/>
      <c r="G32" s="18"/>
      <c r="H32" s="15"/>
      <c r="I32" s="15"/>
      <c r="J32" s="15"/>
      <c r="K32" s="15"/>
      <c r="L32" s="15"/>
      <c r="M32" s="18"/>
      <c r="N32" s="18"/>
      <c r="O32" s="19"/>
      <c r="P32" s="20"/>
      <c r="R32" s="17"/>
      <c r="S32" s="22"/>
      <c r="T32" s="22"/>
    </row>
    <row r="33" spans="1:20" s="21" customFormat="1" ht="15.75">
      <c r="A33" s="15"/>
      <c r="B33" s="16"/>
      <c r="C33" s="16"/>
      <c r="D33" s="15"/>
      <c r="E33" s="17"/>
      <c r="F33" s="15"/>
      <c r="G33" s="18"/>
      <c r="H33" s="15"/>
      <c r="I33" s="15"/>
      <c r="J33" s="15"/>
      <c r="K33" s="15"/>
      <c r="L33" s="15"/>
      <c r="M33" s="18"/>
      <c r="N33" s="18"/>
      <c r="O33" s="19"/>
      <c r="P33" s="20"/>
      <c r="R33" s="17"/>
      <c r="S33" s="22"/>
      <c r="T33" s="22"/>
    </row>
    <row r="34" spans="1:20" s="21" customFormat="1" ht="15.75">
      <c r="A34" s="15"/>
      <c r="B34" s="16"/>
      <c r="C34" s="16"/>
      <c r="D34" s="15"/>
      <c r="E34" s="17"/>
      <c r="F34" s="15"/>
      <c r="G34" s="18"/>
      <c r="H34" s="15"/>
      <c r="I34" s="15"/>
      <c r="J34" s="15"/>
      <c r="K34" s="15"/>
      <c r="L34" s="15"/>
      <c r="M34" s="18"/>
      <c r="N34" s="18"/>
      <c r="O34" s="19"/>
      <c r="P34" s="20"/>
      <c r="R34" s="17"/>
      <c r="S34" s="22"/>
      <c r="T34" s="22"/>
    </row>
    <row r="35" spans="1:20" s="21" customFormat="1" ht="15.75">
      <c r="A35" s="15"/>
      <c r="B35" s="16"/>
      <c r="C35" s="16"/>
      <c r="D35" s="15"/>
      <c r="E35" s="17"/>
      <c r="F35" s="15"/>
      <c r="G35" s="18"/>
      <c r="H35" s="15"/>
      <c r="I35" s="15"/>
      <c r="J35" s="15"/>
      <c r="K35" s="15"/>
      <c r="L35" s="15"/>
      <c r="M35" s="18"/>
      <c r="N35" s="18"/>
      <c r="O35" s="19"/>
      <c r="P35" s="20"/>
      <c r="R35" s="17"/>
      <c r="S35" s="22"/>
      <c r="T35" s="22"/>
    </row>
    <row r="36" spans="1:20" s="21" customFormat="1" ht="15.75">
      <c r="A36" s="15"/>
      <c r="B36" s="16"/>
      <c r="C36" s="16"/>
      <c r="D36" s="15"/>
      <c r="E36" s="17"/>
      <c r="F36" s="15"/>
      <c r="G36" s="18"/>
      <c r="H36" s="15"/>
      <c r="I36" s="15"/>
      <c r="J36" s="15"/>
      <c r="K36" s="15"/>
      <c r="L36" s="15"/>
      <c r="M36" s="18"/>
      <c r="N36" s="18"/>
      <c r="O36" s="19"/>
      <c r="P36" s="20"/>
      <c r="R36" s="17"/>
      <c r="S36" s="22"/>
      <c r="T36" s="22"/>
    </row>
    <row r="37" spans="1:20" s="21" customFormat="1" ht="15.75">
      <c r="A37" s="15"/>
      <c r="B37" s="16"/>
      <c r="C37" s="16"/>
      <c r="D37" s="15"/>
      <c r="E37" s="17"/>
      <c r="F37" s="15"/>
      <c r="G37" s="18"/>
      <c r="H37" s="15"/>
      <c r="I37" s="15"/>
      <c r="J37" s="15"/>
      <c r="K37" s="15"/>
      <c r="L37" s="15"/>
      <c r="M37" s="18"/>
      <c r="N37" s="18"/>
      <c r="O37" s="19"/>
      <c r="P37" s="20"/>
      <c r="R37" s="17"/>
      <c r="S37" s="22"/>
      <c r="T37" s="22"/>
    </row>
    <row r="38" spans="1:20" s="21" customFormat="1" ht="15.75">
      <c r="A38" s="15"/>
      <c r="B38" s="16"/>
      <c r="C38" s="16"/>
      <c r="D38" s="15"/>
      <c r="E38" s="17"/>
      <c r="F38" s="15"/>
      <c r="G38" s="18"/>
      <c r="H38" s="15"/>
      <c r="I38" s="15"/>
      <c r="J38" s="15"/>
      <c r="K38" s="15"/>
      <c r="L38" s="15"/>
      <c r="M38" s="18"/>
      <c r="N38" s="18"/>
      <c r="O38" s="19"/>
      <c r="P38" s="20"/>
      <c r="R38" s="17"/>
      <c r="S38" s="22"/>
      <c r="T38" s="22"/>
    </row>
    <row r="39" spans="1:20" s="21" customFormat="1" ht="15.75">
      <c r="A39" s="15"/>
      <c r="B39" s="16"/>
      <c r="C39" s="16"/>
      <c r="D39" s="15"/>
      <c r="E39" s="17"/>
      <c r="F39" s="15"/>
      <c r="G39" s="18"/>
      <c r="H39" s="15"/>
      <c r="I39" s="15"/>
      <c r="J39" s="15"/>
      <c r="K39" s="15"/>
      <c r="L39" s="15"/>
      <c r="M39" s="18"/>
      <c r="N39" s="18"/>
      <c r="O39" s="19"/>
      <c r="P39" s="20"/>
      <c r="R39" s="17"/>
      <c r="S39" s="22"/>
      <c r="T39" s="22"/>
    </row>
    <row r="40" spans="1:20" s="21" customFormat="1" ht="15.75">
      <c r="A40" s="15"/>
      <c r="B40" s="16"/>
      <c r="C40" s="16"/>
      <c r="D40" s="15"/>
      <c r="E40" s="17"/>
      <c r="F40" s="15"/>
      <c r="G40" s="18"/>
      <c r="H40" s="15"/>
      <c r="I40" s="15"/>
      <c r="J40" s="15"/>
      <c r="K40" s="15"/>
      <c r="L40" s="15"/>
      <c r="M40" s="18"/>
      <c r="N40" s="18"/>
      <c r="O40" s="19"/>
      <c r="P40" s="20"/>
      <c r="R40" s="17"/>
      <c r="S40" s="22"/>
      <c r="T40" s="22"/>
    </row>
    <row r="41" spans="1:20" s="21" customFormat="1" ht="15.75">
      <c r="A41" s="15"/>
      <c r="B41" s="16"/>
      <c r="C41" s="16"/>
      <c r="D41" s="15"/>
      <c r="E41" s="17"/>
      <c r="F41" s="15"/>
      <c r="G41" s="18"/>
      <c r="H41" s="15"/>
      <c r="I41" s="15"/>
      <c r="J41" s="15"/>
      <c r="K41" s="15"/>
      <c r="L41" s="15"/>
      <c r="M41" s="18"/>
      <c r="N41" s="18"/>
      <c r="O41" s="19"/>
      <c r="P41" s="20"/>
      <c r="R41" s="17"/>
      <c r="S41" s="22"/>
      <c r="T41" s="22"/>
    </row>
    <row r="42" spans="1:20" s="21" customFormat="1" ht="15.75">
      <c r="A42" s="15"/>
      <c r="B42" s="16"/>
      <c r="C42" s="16"/>
      <c r="D42" s="15"/>
      <c r="E42" s="17"/>
      <c r="F42" s="15"/>
      <c r="G42" s="18"/>
      <c r="H42" s="15"/>
      <c r="I42" s="15"/>
      <c r="J42" s="15"/>
      <c r="K42" s="15"/>
      <c r="L42" s="15"/>
      <c r="M42" s="18"/>
      <c r="N42" s="18"/>
      <c r="O42" s="19"/>
      <c r="P42" s="20"/>
      <c r="R42" s="17"/>
      <c r="S42" s="22"/>
      <c r="T42" s="22"/>
    </row>
    <row r="43" spans="1:20" s="21" customFormat="1" ht="15.75">
      <c r="A43" s="15"/>
      <c r="B43" s="16"/>
      <c r="C43" s="16"/>
      <c r="D43" s="15"/>
      <c r="E43" s="17"/>
      <c r="F43" s="15"/>
      <c r="G43" s="18"/>
      <c r="H43" s="15"/>
      <c r="I43" s="15"/>
      <c r="J43" s="15"/>
      <c r="K43" s="15"/>
      <c r="L43" s="15"/>
      <c r="M43" s="18"/>
      <c r="N43" s="18"/>
      <c r="O43" s="19"/>
      <c r="P43" s="20"/>
      <c r="R43" s="17"/>
      <c r="S43" s="22"/>
      <c r="T43" s="22"/>
    </row>
    <row r="44" spans="1:20" s="21" customFormat="1" ht="15.75">
      <c r="A44" s="23"/>
      <c r="B44" s="16"/>
      <c r="C44" s="16"/>
      <c r="D44" s="15"/>
      <c r="E44" s="17"/>
      <c r="F44" s="15"/>
      <c r="G44" s="18"/>
      <c r="H44" s="15"/>
      <c r="I44" s="15"/>
      <c r="J44" s="15"/>
      <c r="K44" s="15"/>
      <c r="L44" s="15"/>
      <c r="M44" s="18"/>
      <c r="N44" s="18"/>
      <c r="O44" s="19"/>
      <c r="P44" s="20"/>
      <c r="R44" s="17"/>
      <c r="S44" s="22"/>
      <c r="T44" s="22"/>
    </row>
    <row r="45" spans="1:20" s="21" customFormat="1" ht="15.75">
      <c r="A45" s="23"/>
      <c r="B45" s="16"/>
      <c r="C45" s="16"/>
      <c r="D45" s="15"/>
      <c r="E45" s="17"/>
      <c r="F45" s="15"/>
      <c r="G45" s="18"/>
      <c r="H45" s="15"/>
      <c r="I45" s="15"/>
      <c r="J45" s="15"/>
      <c r="K45" s="15"/>
      <c r="L45" s="15"/>
      <c r="M45" s="18"/>
      <c r="N45" s="18"/>
      <c r="O45" s="19"/>
      <c r="P45" s="20"/>
      <c r="R45" s="17"/>
      <c r="S45" s="22"/>
      <c r="T45" s="22"/>
    </row>
    <row r="46" spans="1:20" s="21" customFormat="1" ht="15.75">
      <c r="A46" s="23"/>
      <c r="B46" s="16"/>
      <c r="C46" s="16"/>
      <c r="D46" s="15"/>
      <c r="E46" s="17"/>
      <c r="F46" s="15"/>
      <c r="G46" s="18"/>
      <c r="H46" s="15"/>
      <c r="I46" s="15"/>
      <c r="J46" s="15"/>
      <c r="K46" s="15"/>
      <c r="L46" s="15"/>
      <c r="M46" s="18"/>
      <c r="N46" s="18"/>
      <c r="O46" s="19"/>
      <c r="P46" s="20"/>
      <c r="R46" s="17"/>
      <c r="S46" s="22"/>
      <c r="T46" s="22"/>
    </row>
    <row r="47" spans="1:20" s="21" customFormat="1" ht="15.75">
      <c r="A47" s="23"/>
      <c r="B47" s="16"/>
      <c r="C47" s="16"/>
      <c r="D47" s="15"/>
      <c r="E47" s="17"/>
      <c r="F47" s="15"/>
      <c r="G47" s="18"/>
      <c r="H47" s="15"/>
      <c r="I47" s="15"/>
      <c r="J47" s="15"/>
      <c r="K47" s="15"/>
      <c r="L47" s="15"/>
      <c r="M47" s="18"/>
      <c r="N47" s="18"/>
      <c r="O47" s="19"/>
      <c r="P47" s="20"/>
      <c r="R47" s="17"/>
      <c r="S47" s="22"/>
      <c r="T47" s="22"/>
    </row>
    <row r="48" spans="1:20" s="21" customFormat="1" ht="15.75">
      <c r="A48" s="23"/>
      <c r="B48" s="16"/>
      <c r="C48" s="16"/>
      <c r="D48" s="15"/>
      <c r="E48" s="17"/>
      <c r="F48" s="15"/>
      <c r="G48" s="18"/>
      <c r="H48" s="15"/>
      <c r="I48" s="15"/>
      <c r="J48" s="15"/>
      <c r="K48" s="15"/>
      <c r="L48" s="15"/>
      <c r="M48" s="18"/>
      <c r="N48" s="18"/>
      <c r="O48" s="19"/>
      <c r="P48" s="20"/>
      <c r="R48" s="17"/>
      <c r="S48" s="22"/>
      <c r="T48" s="22"/>
    </row>
    <row r="49" spans="1:20" s="21" customFormat="1" ht="15.75">
      <c r="A49" s="23"/>
      <c r="B49" s="16"/>
      <c r="C49" s="16"/>
      <c r="D49" s="15"/>
      <c r="E49" s="17"/>
      <c r="F49" s="15"/>
      <c r="G49" s="18"/>
      <c r="H49" s="15"/>
      <c r="I49" s="15"/>
      <c r="J49" s="15"/>
      <c r="K49" s="15"/>
      <c r="L49" s="15"/>
      <c r="M49" s="18"/>
      <c r="N49" s="18"/>
      <c r="O49" s="19"/>
      <c r="P49" s="20"/>
      <c r="R49" s="17"/>
      <c r="S49" s="22"/>
      <c r="T49" s="22"/>
    </row>
    <row r="50" spans="1:20" s="21" customFormat="1" ht="15.75">
      <c r="A50" s="23"/>
      <c r="B50" s="16"/>
      <c r="C50" s="16"/>
      <c r="D50" s="15"/>
      <c r="E50" s="17"/>
      <c r="F50" s="15"/>
      <c r="G50" s="18"/>
      <c r="H50" s="15"/>
      <c r="I50" s="15"/>
      <c r="J50" s="15"/>
      <c r="K50" s="15"/>
      <c r="L50" s="15"/>
      <c r="M50" s="18"/>
      <c r="N50" s="18"/>
      <c r="O50" s="19"/>
      <c r="P50" s="20"/>
      <c r="R50" s="17"/>
      <c r="S50" s="22"/>
      <c r="T50" s="22"/>
    </row>
    <row r="51" spans="1:20" s="21" customFormat="1" ht="15.75">
      <c r="A51" s="23"/>
      <c r="B51" s="16"/>
      <c r="C51" s="16"/>
      <c r="D51" s="15"/>
      <c r="E51" s="17"/>
      <c r="F51" s="15"/>
      <c r="G51" s="18"/>
      <c r="H51" s="15"/>
      <c r="I51" s="15"/>
      <c r="J51" s="15"/>
      <c r="K51" s="15"/>
      <c r="L51" s="15"/>
      <c r="M51" s="18"/>
      <c r="N51" s="18"/>
      <c r="O51" s="19"/>
      <c r="P51" s="20"/>
      <c r="R51" s="17"/>
      <c r="S51" s="22"/>
      <c r="T51" s="22"/>
    </row>
    <row r="52" spans="1:20" s="21" customFormat="1" ht="15.75">
      <c r="A52" s="23"/>
      <c r="B52" s="16"/>
      <c r="C52" s="16"/>
      <c r="D52" s="15"/>
      <c r="E52" s="17"/>
      <c r="F52" s="15"/>
      <c r="G52" s="18"/>
      <c r="H52" s="15"/>
      <c r="I52" s="15"/>
      <c r="J52" s="15"/>
      <c r="K52" s="15"/>
      <c r="L52" s="15"/>
      <c r="M52" s="18"/>
      <c r="N52" s="18"/>
      <c r="O52" s="19"/>
      <c r="P52" s="20"/>
      <c r="R52" s="17"/>
      <c r="S52" s="22"/>
      <c r="T52" s="22"/>
    </row>
    <row r="53" spans="1:20" s="21" customFormat="1" ht="15.75">
      <c r="A53" s="23"/>
      <c r="B53" s="16"/>
      <c r="C53" s="16"/>
      <c r="D53" s="15"/>
      <c r="E53" s="17"/>
      <c r="F53" s="15"/>
      <c r="G53" s="18"/>
      <c r="H53" s="15"/>
      <c r="I53" s="15"/>
      <c r="J53" s="15"/>
      <c r="K53" s="15"/>
      <c r="L53" s="15"/>
      <c r="M53" s="18"/>
      <c r="N53" s="18"/>
      <c r="O53" s="19"/>
      <c r="P53" s="20"/>
      <c r="R53" s="17"/>
      <c r="S53" s="22"/>
      <c r="T53" s="22"/>
    </row>
    <row r="54" spans="1:20" s="21" customFormat="1" ht="15.75">
      <c r="A54" s="23"/>
      <c r="B54" s="16"/>
      <c r="C54" s="16"/>
      <c r="D54" s="15"/>
      <c r="E54" s="17"/>
      <c r="F54" s="15"/>
      <c r="G54" s="18"/>
      <c r="H54" s="15"/>
      <c r="I54" s="15"/>
      <c r="J54" s="15"/>
      <c r="K54" s="15"/>
      <c r="L54" s="15"/>
      <c r="M54" s="18"/>
      <c r="N54" s="18"/>
      <c r="O54" s="19"/>
      <c r="P54" s="20"/>
      <c r="R54" s="17"/>
      <c r="S54" s="22"/>
      <c r="T54" s="22"/>
    </row>
    <row r="55" spans="1:20" s="21" customFormat="1" ht="15.75">
      <c r="A55" s="23"/>
      <c r="B55" s="16"/>
      <c r="C55" s="16"/>
      <c r="D55" s="15"/>
      <c r="E55" s="17"/>
      <c r="F55" s="15"/>
      <c r="G55" s="18"/>
      <c r="H55" s="15"/>
      <c r="I55" s="15"/>
      <c r="J55" s="15"/>
      <c r="K55" s="15"/>
      <c r="L55" s="15"/>
      <c r="M55" s="18"/>
      <c r="N55" s="18"/>
      <c r="O55" s="19"/>
      <c r="P55" s="20"/>
      <c r="R55" s="17"/>
      <c r="S55" s="22"/>
      <c r="T55" s="22"/>
    </row>
    <row r="56" spans="1:20" s="21" customFormat="1" ht="15.75">
      <c r="A56" s="23"/>
      <c r="B56" s="16"/>
      <c r="C56" s="16"/>
      <c r="D56" s="15"/>
      <c r="E56" s="17"/>
      <c r="F56" s="15"/>
      <c r="G56" s="18"/>
      <c r="H56" s="15"/>
      <c r="I56" s="15"/>
      <c r="J56" s="15"/>
      <c r="K56" s="15"/>
      <c r="L56" s="15"/>
      <c r="M56" s="18"/>
      <c r="N56" s="18"/>
      <c r="O56" s="19"/>
      <c r="P56" s="20"/>
      <c r="R56" s="17"/>
      <c r="S56" s="22"/>
      <c r="T56" s="22"/>
    </row>
    <row r="57" spans="1:20" s="21" customFormat="1" ht="15.75">
      <c r="A57" s="23"/>
      <c r="B57" s="16"/>
      <c r="C57" s="16"/>
      <c r="D57" s="15"/>
      <c r="E57" s="17"/>
      <c r="F57" s="15"/>
      <c r="G57" s="18"/>
      <c r="H57" s="15"/>
      <c r="I57" s="15"/>
      <c r="J57" s="15"/>
      <c r="K57" s="15"/>
      <c r="L57" s="15"/>
      <c r="M57" s="18"/>
      <c r="N57" s="18"/>
      <c r="O57" s="19"/>
      <c r="P57" s="20"/>
      <c r="R57" s="17"/>
      <c r="S57" s="22"/>
      <c r="T57" s="22"/>
    </row>
    <row r="58" spans="1:20" s="21" customFormat="1" ht="15.75">
      <c r="A58" s="23"/>
      <c r="B58" s="16"/>
      <c r="C58" s="16"/>
      <c r="D58" s="15"/>
      <c r="E58" s="17"/>
      <c r="F58" s="15"/>
      <c r="G58" s="18"/>
      <c r="H58" s="15"/>
      <c r="I58" s="15"/>
      <c r="J58" s="15"/>
      <c r="K58" s="15"/>
      <c r="L58" s="15"/>
      <c r="M58" s="18"/>
      <c r="N58" s="18"/>
      <c r="O58" s="19"/>
      <c r="P58" s="20"/>
      <c r="R58" s="17"/>
      <c r="S58" s="22"/>
      <c r="T58" s="22"/>
    </row>
    <row r="59" spans="1:20" s="21" customFormat="1" ht="15.75">
      <c r="A59" s="23"/>
      <c r="B59" s="16"/>
      <c r="C59" s="16"/>
      <c r="D59" s="15"/>
      <c r="E59" s="17"/>
      <c r="F59" s="15"/>
      <c r="G59" s="18"/>
      <c r="H59" s="15"/>
      <c r="I59" s="15"/>
      <c r="J59" s="15"/>
      <c r="K59" s="15"/>
      <c r="L59" s="15"/>
      <c r="M59" s="18"/>
      <c r="N59" s="18"/>
      <c r="O59" s="19"/>
      <c r="P59" s="20"/>
      <c r="R59" s="17"/>
      <c r="S59" s="22"/>
      <c r="T59" s="22"/>
    </row>
    <row r="60" spans="1:20" s="21" customFormat="1" ht="15.75">
      <c r="A60" s="23"/>
      <c r="B60" s="16"/>
      <c r="C60" s="16"/>
      <c r="D60" s="15"/>
      <c r="E60" s="17"/>
      <c r="F60" s="15"/>
      <c r="G60" s="18"/>
      <c r="H60" s="15"/>
      <c r="I60" s="15"/>
      <c r="J60" s="15"/>
      <c r="K60" s="15"/>
      <c r="L60" s="15"/>
      <c r="M60" s="18"/>
      <c r="N60" s="18"/>
      <c r="O60" s="19"/>
      <c r="P60" s="20"/>
      <c r="R60" s="17"/>
      <c r="S60" s="22"/>
      <c r="T60" s="22"/>
    </row>
    <row r="61" spans="1:20" s="21" customFormat="1" ht="15.75">
      <c r="A61" s="23"/>
      <c r="B61" s="16"/>
      <c r="C61" s="16"/>
      <c r="D61" s="15"/>
      <c r="E61" s="17"/>
      <c r="F61" s="15"/>
      <c r="G61" s="18"/>
      <c r="H61" s="15"/>
      <c r="I61" s="15"/>
      <c r="J61" s="15"/>
      <c r="K61" s="15"/>
      <c r="L61" s="15"/>
      <c r="M61" s="18"/>
      <c r="N61" s="18"/>
      <c r="O61" s="19"/>
      <c r="P61" s="20"/>
      <c r="R61" s="17"/>
      <c r="S61" s="22"/>
      <c r="T61" s="22"/>
    </row>
    <row r="62" spans="1:20" s="21" customFormat="1" ht="15.75">
      <c r="A62" s="23"/>
      <c r="B62" s="16"/>
      <c r="C62" s="16"/>
      <c r="D62" s="15"/>
      <c r="E62" s="17"/>
      <c r="F62" s="15"/>
      <c r="G62" s="18"/>
      <c r="H62" s="15"/>
      <c r="I62" s="15"/>
      <c r="J62" s="15"/>
      <c r="K62" s="15"/>
      <c r="L62" s="15"/>
      <c r="M62" s="18"/>
      <c r="N62" s="18"/>
      <c r="O62" s="19"/>
      <c r="P62" s="20"/>
      <c r="R62" s="17"/>
      <c r="S62" s="22"/>
      <c r="T62" s="22"/>
    </row>
    <row r="63" spans="1:20" s="21" customFormat="1" ht="15.75">
      <c r="A63" s="23"/>
      <c r="B63" s="16"/>
      <c r="C63" s="16"/>
      <c r="D63" s="15"/>
      <c r="E63" s="17"/>
      <c r="F63" s="15"/>
      <c r="G63" s="18"/>
      <c r="H63" s="15"/>
      <c r="I63" s="15"/>
      <c r="J63" s="15"/>
      <c r="K63" s="15"/>
      <c r="L63" s="15"/>
      <c r="M63" s="18"/>
      <c r="N63" s="18"/>
      <c r="O63" s="19"/>
      <c r="P63" s="20"/>
      <c r="R63" s="17"/>
      <c r="S63" s="22"/>
      <c r="T63" s="22"/>
    </row>
    <row r="64" spans="1:20" s="21" customFormat="1" ht="15.75">
      <c r="A64" s="23"/>
      <c r="B64" s="16"/>
      <c r="C64" s="16"/>
      <c r="D64" s="15"/>
      <c r="E64" s="17"/>
      <c r="F64" s="15"/>
      <c r="G64" s="18"/>
      <c r="H64" s="15"/>
      <c r="I64" s="15"/>
      <c r="J64" s="15"/>
      <c r="K64" s="15"/>
      <c r="L64" s="15"/>
      <c r="M64" s="18"/>
      <c r="N64" s="18"/>
      <c r="O64" s="19"/>
      <c r="P64" s="20"/>
      <c r="R64" s="17"/>
      <c r="S64" s="22"/>
      <c r="T64" s="22"/>
    </row>
    <row r="65" spans="1:20" s="21" customFormat="1" ht="15.75">
      <c r="A65" s="23"/>
      <c r="B65" s="16"/>
      <c r="C65" s="16"/>
      <c r="D65" s="15"/>
      <c r="E65" s="17"/>
      <c r="F65" s="15"/>
      <c r="G65" s="18"/>
      <c r="H65" s="15"/>
      <c r="I65" s="15"/>
      <c r="J65" s="15"/>
      <c r="K65" s="15"/>
      <c r="L65" s="15"/>
      <c r="M65" s="18"/>
      <c r="N65" s="18"/>
      <c r="O65" s="19"/>
      <c r="P65" s="20"/>
      <c r="R65" s="17"/>
      <c r="S65" s="22"/>
      <c r="T65" s="22"/>
    </row>
    <row r="66" spans="1:20" s="21" customFormat="1" ht="15.75">
      <c r="A66" s="23"/>
      <c r="B66" s="16"/>
      <c r="C66" s="16"/>
      <c r="D66" s="15"/>
      <c r="E66" s="17"/>
      <c r="F66" s="15"/>
      <c r="G66" s="18"/>
      <c r="H66" s="15"/>
      <c r="I66" s="15"/>
      <c r="J66" s="15"/>
      <c r="K66" s="15"/>
      <c r="L66" s="15"/>
      <c r="M66" s="18"/>
      <c r="N66" s="18"/>
      <c r="O66" s="19"/>
      <c r="P66" s="20"/>
      <c r="R66" s="17"/>
      <c r="S66" s="22"/>
      <c r="T66" s="22"/>
    </row>
    <row r="67" spans="1:20" s="21" customFormat="1" ht="15.75">
      <c r="A67" s="23"/>
      <c r="B67" s="16"/>
      <c r="C67" s="16"/>
      <c r="D67" s="15"/>
      <c r="E67" s="17"/>
      <c r="F67" s="15"/>
      <c r="G67" s="18"/>
      <c r="H67" s="15"/>
      <c r="I67" s="15"/>
      <c r="J67" s="15"/>
      <c r="K67" s="15"/>
      <c r="L67" s="15"/>
      <c r="M67" s="18"/>
      <c r="N67" s="18"/>
      <c r="O67" s="19"/>
      <c r="P67" s="20"/>
      <c r="R67" s="17"/>
      <c r="S67" s="22"/>
      <c r="T67" s="22"/>
    </row>
    <row r="68" spans="1:20" s="21" customFormat="1" ht="15.75">
      <c r="A68" s="23"/>
      <c r="B68" s="16"/>
      <c r="C68" s="16"/>
      <c r="D68" s="15"/>
      <c r="E68" s="17"/>
      <c r="F68" s="15"/>
      <c r="G68" s="18"/>
      <c r="H68" s="15"/>
      <c r="I68" s="15"/>
      <c r="J68" s="15"/>
      <c r="K68" s="15"/>
      <c r="L68" s="15"/>
      <c r="M68" s="18"/>
      <c r="N68" s="18"/>
      <c r="O68" s="19"/>
      <c r="P68" s="20"/>
      <c r="R68" s="17"/>
      <c r="S68" s="22"/>
      <c r="T68" s="22"/>
    </row>
    <row r="69" spans="1:20" s="21" customFormat="1" ht="15.75">
      <c r="A69" s="23"/>
      <c r="B69" s="16"/>
      <c r="C69" s="16"/>
      <c r="D69" s="15"/>
      <c r="E69" s="17"/>
      <c r="F69" s="15"/>
      <c r="G69" s="18"/>
      <c r="H69" s="15"/>
      <c r="I69" s="15"/>
      <c r="J69" s="15"/>
      <c r="K69" s="15"/>
      <c r="L69" s="15"/>
      <c r="M69" s="18"/>
      <c r="N69" s="18"/>
      <c r="O69" s="19"/>
      <c r="P69" s="20"/>
      <c r="R69" s="17"/>
      <c r="S69" s="22"/>
      <c r="T69" s="22"/>
    </row>
    <row r="70" spans="1:20" s="21" customFormat="1" ht="15.75">
      <c r="A70" s="23"/>
      <c r="B70" s="16"/>
      <c r="C70" s="16"/>
      <c r="D70" s="15"/>
      <c r="E70" s="17"/>
      <c r="F70" s="15"/>
      <c r="G70" s="18"/>
      <c r="H70" s="15"/>
      <c r="I70" s="15"/>
      <c r="J70" s="15"/>
      <c r="K70" s="15"/>
      <c r="L70" s="15"/>
      <c r="M70" s="18"/>
      <c r="N70" s="18"/>
      <c r="O70" s="19"/>
      <c r="P70" s="20"/>
      <c r="R70" s="17"/>
      <c r="S70" s="22"/>
      <c r="T70" s="22"/>
    </row>
    <row r="71" spans="1:20" s="21" customFormat="1" ht="15.75">
      <c r="A71" s="23"/>
      <c r="B71" s="16"/>
      <c r="C71" s="16"/>
      <c r="D71" s="15"/>
      <c r="E71" s="17"/>
      <c r="F71" s="15"/>
      <c r="G71" s="18"/>
      <c r="H71" s="15"/>
      <c r="I71" s="15"/>
      <c r="J71" s="15"/>
      <c r="K71" s="15"/>
      <c r="L71" s="15"/>
      <c r="M71" s="18"/>
      <c r="N71" s="18"/>
      <c r="O71" s="19"/>
      <c r="P71" s="20"/>
      <c r="R71" s="17"/>
      <c r="S71" s="22"/>
      <c r="T71" s="22"/>
    </row>
    <row r="72" spans="1:20" s="21" customFormat="1" ht="15.75">
      <c r="A72" s="23"/>
      <c r="B72" s="16"/>
      <c r="C72" s="16"/>
      <c r="D72" s="15"/>
      <c r="E72" s="17"/>
      <c r="F72" s="15"/>
      <c r="G72" s="18"/>
      <c r="H72" s="15"/>
      <c r="I72" s="15"/>
      <c r="J72" s="15"/>
      <c r="K72" s="15"/>
      <c r="L72" s="15"/>
      <c r="M72" s="18"/>
      <c r="N72" s="18"/>
      <c r="O72" s="19"/>
      <c r="P72" s="20"/>
      <c r="R72" s="17"/>
      <c r="S72" s="22"/>
      <c r="T72" s="22"/>
    </row>
    <row r="73" spans="1:20" s="21" customFormat="1" ht="15.75">
      <c r="A73" s="23"/>
      <c r="B73" s="16"/>
      <c r="C73" s="16"/>
      <c r="D73" s="15"/>
      <c r="E73" s="17"/>
      <c r="F73" s="15"/>
      <c r="G73" s="18"/>
      <c r="H73" s="15"/>
      <c r="I73" s="15"/>
      <c r="J73" s="15"/>
      <c r="K73" s="15"/>
      <c r="L73" s="15"/>
      <c r="M73" s="18"/>
      <c r="N73" s="18"/>
      <c r="O73" s="19"/>
      <c r="P73" s="20"/>
      <c r="R73" s="17"/>
      <c r="S73" s="22"/>
      <c r="T73" s="22"/>
    </row>
    <row r="74" spans="1:20" s="21" customFormat="1" ht="15.75">
      <c r="A74" s="23"/>
      <c r="B74" s="16"/>
      <c r="C74" s="16"/>
      <c r="D74" s="15"/>
      <c r="E74" s="17"/>
      <c r="F74" s="15"/>
      <c r="G74" s="18"/>
      <c r="H74" s="15"/>
      <c r="I74" s="15"/>
      <c r="J74" s="15"/>
      <c r="K74" s="15"/>
      <c r="L74" s="15"/>
      <c r="M74" s="18"/>
      <c r="N74" s="18"/>
      <c r="O74" s="19"/>
      <c r="P74" s="20"/>
      <c r="R74" s="17"/>
      <c r="S74" s="22"/>
      <c r="T74" s="22"/>
    </row>
    <row r="75" spans="1:20" s="21" customFormat="1" ht="15.75">
      <c r="A75" s="23"/>
      <c r="B75" s="16"/>
      <c r="C75" s="16"/>
      <c r="D75" s="15"/>
      <c r="E75" s="17"/>
      <c r="F75" s="15"/>
      <c r="G75" s="18"/>
      <c r="H75" s="15"/>
      <c r="I75" s="15"/>
      <c r="J75" s="15"/>
      <c r="K75" s="15"/>
      <c r="L75" s="15"/>
      <c r="M75" s="18"/>
      <c r="N75" s="18"/>
      <c r="O75" s="19"/>
      <c r="P75" s="20"/>
      <c r="R75" s="17"/>
      <c r="S75" s="22"/>
      <c r="T75" s="22"/>
    </row>
    <row r="76" spans="1:20" s="21" customFormat="1" ht="15.75">
      <c r="A76" s="23"/>
      <c r="B76" s="16"/>
      <c r="C76" s="16"/>
      <c r="D76" s="15"/>
      <c r="E76" s="17"/>
      <c r="F76" s="15"/>
      <c r="G76" s="18"/>
      <c r="H76" s="15"/>
      <c r="I76" s="15"/>
      <c r="J76" s="15"/>
      <c r="K76" s="15"/>
      <c r="L76" s="15"/>
      <c r="M76" s="18"/>
      <c r="N76" s="18"/>
      <c r="O76" s="19"/>
      <c r="P76" s="20"/>
      <c r="R76" s="17"/>
      <c r="S76" s="22"/>
      <c r="T76" s="22"/>
    </row>
    <row r="77" spans="1:20" s="21" customFormat="1" ht="15.75">
      <c r="A77" s="23"/>
      <c r="B77" s="16"/>
      <c r="C77" s="16"/>
      <c r="D77" s="15"/>
      <c r="E77" s="17"/>
      <c r="F77" s="15"/>
      <c r="G77" s="18"/>
      <c r="H77" s="15"/>
      <c r="I77" s="15"/>
      <c r="J77" s="15"/>
      <c r="K77" s="15"/>
      <c r="L77" s="15"/>
      <c r="M77" s="18"/>
      <c r="N77" s="18"/>
      <c r="O77" s="19"/>
      <c r="P77" s="20"/>
      <c r="R77" s="17"/>
      <c r="S77" s="22"/>
      <c r="T77" s="22"/>
    </row>
    <row r="78" spans="1:20" s="21" customFormat="1" ht="15.75">
      <c r="A78" s="23"/>
      <c r="B78" s="16"/>
      <c r="C78" s="16"/>
      <c r="D78" s="15"/>
      <c r="E78" s="17"/>
      <c r="F78" s="15"/>
      <c r="G78" s="18"/>
      <c r="H78" s="15"/>
      <c r="I78" s="15"/>
      <c r="J78" s="15"/>
      <c r="K78" s="15"/>
      <c r="L78" s="15"/>
      <c r="M78" s="18"/>
      <c r="N78" s="18"/>
      <c r="O78" s="19"/>
      <c r="P78" s="20"/>
      <c r="R78" s="17"/>
      <c r="S78" s="22"/>
      <c r="T78" s="22"/>
    </row>
    <row r="79" spans="1:20" s="21" customFormat="1" ht="15.75">
      <c r="A79" s="23"/>
      <c r="B79" s="16"/>
      <c r="C79" s="16"/>
      <c r="D79" s="15"/>
      <c r="E79" s="17"/>
      <c r="F79" s="15"/>
      <c r="G79" s="18"/>
      <c r="H79" s="15"/>
      <c r="I79" s="15"/>
      <c r="J79" s="15"/>
      <c r="K79" s="15"/>
      <c r="L79" s="15"/>
      <c r="M79" s="18"/>
      <c r="N79" s="18"/>
      <c r="O79" s="19"/>
      <c r="P79" s="20"/>
      <c r="R79" s="17"/>
      <c r="S79" s="22"/>
      <c r="T79" s="22"/>
    </row>
    <row r="80" spans="1:20" s="21" customFormat="1" ht="15.75">
      <c r="A80" s="23"/>
      <c r="B80" s="16"/>
      <c r="C80" s="16"/>
      <c r="D80" s="15"/>
      <c r="E80" s="17"/>
      <c r="F80" s="15"/>
      <c r="G80" s="18"/>
      <c r="H80" s="15"/>
      <c r="I80" s="15"/>
      <c r="J80" s="15"/>
      <c r="K80" s="15"/>
      <c r="L80" s="15"/>
      <c r="M80" s="18"/>
      <c r="N80" s="18"/>
      <c r="O80" s="19"/>
      <c r="P80" s="20"/>
      <c r="R80" s="17"/>
      <c r="S80" s="22"/>
      <c r="T80" s="22"/>
    </row>
    <row r="81" spans="1:20" s="21" customFormat="1" ht="15.75">
      <c r="A81" s="23"/>
      <c r="B81" s="16"/>
      <c r="C81" s="16"/>
      <c r="D81" s="15"/>
      <c r="E81" s="17"/>
      <c r="F81" s="15"/>
      <c r="G81" s="18"/>
      <c r="H81" s="15"/>
      <c r="I81" s="15"/>
      <c r="J81" s="15"/>
      <c r="K81" s="15"/>
      <c r="L81" s="15"/>
      <c r="M81" s="18"/>
      <c r="N81" s="18"/>
      <c r="O81" s="19"/>
      <c r="P81" s="20"/>
      <c r="R81" s="17"/>
      <c r="S81" s="22"/>
      <c r="T81" s="22"/>
    </row>
    <row r="82" spans="1:20" s="21" customFormat="1" ht="15.75">
      <c r="A82" s="23"/>
      <c r="B82" s="16"/>
      <c r="C82" s="16"/>
      <c r="D82" s="15"/>
      <c r="E82" s="17"/>
      <c r="F82" s="15"/>
      <c r="G82" s="18"/>
      <c r="H82" s="15"/>
      <c r="I82" s="15"/>
      <c r="J82" s="15"/>
      <c r="K82" s="15"/>
      <c r="L82" s="15"/>
      <c r="M82" s="18"/>
      <c r="N82" s="18"/>
      <c r="O82" s="19"/>
      <c r="P82" s="20"/>
      <c r="R82" s="17"/>
      <c r="S82" s="22"/>
      <c r="T82" s="22"/>
    </row>
    <row r="83" spans="1:20" s="21" customFormat="1" ht="15.75">
      <c r="A83" s="23"/>
      <c r="B83" s="16"/>
      <c r="C83" s="16"/>
      <c r="D83" s="15"/>
      <c r="E83" s="17"/>
      <c r="F83" s="15"/>
      <c r="G83" s="18"/>
      <c r="H83" s="15"/>
      <c r="I83" s="15"/>
      <c r="J83" s="15"/>
      <c r="K83" s="15"/>
      <c r="L83" s="15"/>
      <c r="M83" s="18"/>
      <c r="N83" s="18"/>
      <c r="O83" s="19"/>
      <c r="P83" s="20"/>
      <c r="R83" s="17"/>
      <c r="S83" s="22"/>
      <c r="T83" s="22"/>
    </row>
    <row r="84" spans="1:20" s="21" customFormat="1" ht="15.75">
      <c r="A84" s="23"/>
      <c r="B84" s="16"/>
      <c r="C84" s="16"/>
      <c r="D84" s="15"/>
      <c r="E84" s="17"/>
      <c r="F84" s="15"/>
      <c r="G84" s="18"/>
      <c r="H84" s="15"/>
      <c r="I84" s="15"/>
      <c r="J84" s="15"/>
      <c r="K84" s="15"/>
      <c r="L84" s="15"/>
      <c r="M84" s="18"/>
      <c r="N84" s="18"/>
      <c r="O84" s="19"/>
      <c r="P84" s="20"/>
      <c r="R84" s="17"/>
      <c r="S84" s="22"/>
      <c r="T84" s="22"/>
    </row>
    <row r="85" spans="1:20" s="21" customFormat="1" ht="15.75">
      <c r="A85" s="23"/>
      <c r="B85" s="16"/>
      <c r="C85" s="16"/>
      <c r="D85" s="15"/>
      <c r="E85" s="17"/>
      <c r="F85" s="15"/>
      <c r="G85" s="18"/>
      <c r="H85" s="15"/>
      <c r="I85" s="15"/>
      <c r="J85" s="15"/>
      <c r="K85" s="15"/>
      <c r="L85" s="15"/>
      <c r="M85" s="18"/>
      <c r="N85" s="18"/>
      <c r="O85" s="19"/>
      <c r="P85" s="20"/>
      <c r="R85" s="17"/>
      <c r="S85" s="22"/>
      <c r="T85" s="22"/>
    </row>
    <row r="86" spans="1:20" s="21" customFormat="1" ht="15.75">
      <c r="A86" s="23"/>
      <c r="B86" s="16"/>
      <c r="C86" s="16"/>
      <c r="D86" s="15"/>
      <c r="E86" s="17"/>
      <c r="F86" s="15"/>
      <c r="G86" s="18"/>
      <c r="H86" s="15"/>
      <c r="I86" s="15"/>
      <c r="J86" s="15"/>
      <c r="K86" s="15"/>
      <c r="L86" s="15"/>
      <c r="M86" s="18"/>
      <c r="N86" s="18"/>
      <c r="O86" s="19"/>
      <c r="P86" s="20"/>
      <c r="R86" s="17"/>
      <c r="S86" s="22"/>
      <c r="T86" s="22"/>
    </row>
    <row r="87" spans="1:20" s="21" customFormat="1" ht="15.75">
      <c r="A87" s="23"/>
      <c r="B87" s="16"/>
      <c r="C87" s="16"/>
      <c r="D87" s="15"/>
      <c r="E87" s="17"/>
      <c r="F87" s="15"/>
      <c r="G87" s="18"/>
      <c r="H87" s="15"/>
      <c r="I87" s="15"/>
      <c r="J87" s="15"/>
      <c r="K87" s="15"/>
      <c r="L87" s="15"/>
      <c r="M87" s="18"/>
      <c r="N87" s="18"/>
      <c r="O87" s="19"/>
      <c r="P87" s="20"/>
      <c r="R87" s="17"/>
      <c r="S87" s="22"/>
      <c r="T87" s="22"/>
    </row>
    <row r="88" spans="1:20" s="21" customFormat="1" ht="15.75">
      <c r="A88" s="23"/>
      <c r="B88" s="16"/>
      <c r="C88" s="16"/>
      <c r="D88" s="15"/>
      <c r="E88" s="17"/>
      <c r="F88" s="15"/>
      <c r="G88" s="18"/>
      <c r="H88" s="15"/>
      <c r="I88" s="15"/>
      <c r="J88" s="15"/>
      <c r="K88" s="15"/>
      <c r="L88" s="15"/>
      <c r="M88" s="18"/>
      <c r="N88" s="18"/>
      <c r="O88" s="19"/>
      <c r="P88" s="20"/>
      <c r="R88" s="17"/>
      <c r="S88" s="22"/>
      <c r="T88" s="22"/>
    </row>
    <row r="89" spans="1:20" s="21" customFormat="1" ht="15.75">
      <c r="A89" s="23"/>
      <c r="B89" s="16"/>
      <c r="C89" s="16"/>
      <c r="D89" s="15"/>
      <c r="E89" s="17"/>
      <c r="F89" s="15"/>
      <c r="G89" s="18"/>
      <c r="H89" s="15"/>
      <c r="I89" s="15"/>
      <c r="J89" s="15"/>
      <c r="K89" s="15"/>
      <c r="L89" s="15"/>
      <c r="M89" s="18"/>
      <c r="N89" s="18"/>
      <c r="O89" s="19"/>
      <c r="P89" s="20"/>
      <c r="R89" s="17"/>
      <c r="S89" s="22"/>
      <c r="T89" s="22"/>
    </row>
    <row r="90" spans="1:20" s="21" customFormat="1" ht="15.75">
      <c r="A90" s="23"/>
      <c r="B90" s="16"/>
      <c r="C90" s="16"/>
      <c r="D90" s="15"/>
      <c r="E90" s="17"/>
      <c r="F90" s="15"/>
      <c r="G90" s="18"/>
      <c r="H90" s="15"/>
      <c r="I90" s="15"/>
      <c r="J90" s="15"/>
      <c r="K90" s="15"/>
      <c r="L90" s="15"/>
      <c r="M90" s="18"/>
      <c r="N90" s="18"/>
      <c r="O90" s="19"/>
      <c r="P90" s="20"/>
      <c r="R90" s="17"/>
      <c r="S90" s="22"/>
      <c r="T90" s="22"/>
    </row>
    <row r="91" spans="1:20" s="21" customFormat="1" ht="15.75">
      <c r="A91" s="23"/>
      <c r="B91" s="16"/>
      <c r="C91" s="16"/>
      <c r="D91" s="15"/>
      <c r="E91" s="17"/>
      <c r="F91" s="15"/>
      <c r="G91" s="18"/>
      <c r="H91" s="15"/>
      <c r="I91" s="15"/>
      <c r="J91" s="15"/>
      <c r="K91" s="15"/>
      <c r="L91" s="15"/>
      <c r="M91" s="18"/>
      <c r="N91" s="18"/>
      <c r="O91" s="19"/>
      <c r="P91" s="20"/>
      <c r="R91" s="17"/>
      <c r="S91" s="22"/>
      <c r="T91" s="22"/>
    </row>
    <row r="92" spans="1:20" s="21" customFormat="1" ht="15.75">
      <c r="A92" s="23"/>
      <c r="B92" s="16"/>
      <c r="C92" s="16"/>
      <c r="D92" s="15"/>
      <c r="E92" s="17"/>
      <c r="F92" s="15"/>
      <c r="G92" s="18"/>
      <c r="H92" s="15"/>
      <c r="I92" s="15"/>
      <c r="J92" s="15"/>
      <c r="K92" s="15"/>
      <c r="L92" s="15"/>
      <c r="M92" s="18"/>
      <c r="N92" s="18"/>
      <c r="O92" s="19"/>
      <c r="P92" s="20"/>
      <c r="R92" s="17"/>
      <c r="S92" s="22"/>
      <c r="T92" s="22"/>
    </row>
    <row r="93" spans="1:20" s="21" customFormat="1" ht="15.75">
      <c r="A93" s="23"/>
      <c r="B93" s="16"/>
      <c r="C93" s="16"/>
      <c r="D93" s="15"/>
      <c r="E93" s="17"/>
      <c r="F93" s="15"/>
      <c r="G93" s="18"/>
      <c r="H93" s="15"/>
      <c r="I93" s="15"/>
      <c r="J93" s="15"/>
      <c r="K93" s="15"/>
      <c r="L93" s="15"/>
      <c r="M93" s="18"/>
      <c r="N93" s="18"/>
      <c r="O93" s="19"/>
      <c r="P93" s="20"/>
      <c r="R93" s="17"/>
      <c r="S93" s="22"/>
      <c r="T93" s="22"/>
    </row>
    <row r="94" spans="1:20" s="21" customFormat="1" ht="15.75">
      <c r="A94" s="23"/>
      <c r="B94" s="16"/>
      <c r="C94" s="16"/>
      <c r="D94" s="15"/>
      <c r="E94" s="17"/>
      <c r="F94" s="15"/>
      <c r="G94" s="18"/>
      <c r="H94" s="15"/>
      <c r="I94" s="15"/>
      <c r="J94" s="15"/>
      <c r="K94" s="15"/>
      <c r="L94" s="15"/>
      <c r="M94" s="18"/>
      <c r="N94" s="18"/>
      <c r="O94" s="19"/>
      <c r="P94" s="20"/>
      <c r="R94" s="17"/>
      <c r="S94" s="22"/>
      <c r="T94" s="22"/>
    </row>
    <row r="95" spans="1:20" s="21" customFormat="1" ht="15.75">
      <c r="A95" s="23"/>
      <c r="B95" s="16"/>
      <c r="C95" s="16"/>
      <c r="D95" s="15"/>
      <c r="E95" s="17"/>
      <c r="F95" s="15"/>
      <c r="G95" s="18"/>
      <c r="H95" s="15"/>
      <c r="I95" s="15"/>
      <c r="J95" s="15"/>
      <c r="K95" s="15"/>
      <c r="L95" s="15"/>
      <c r="M95" s="18"/>
      <c r="N95" s="18"/>
      <c r="O95" s="19"/>
      <c r="P95" s="20"/>
      <c r="R95" s="17"/>
      <c r="S95" s="22"/>
      <c r="T95" s="22"/>
    </row>
    <row r="96" spans="1:20" s="21" customFormat="1" ht="15.75">
      <c r="A96" s="23"/>
      <c r="B96" s="16"/>
      <c r="C96" s="16"/>
      <c r="D96" s="15"/>
      <c r="E96" s="17"/>
      <c r="F96" s="15"/>
      <c r="G96" s="18"/>
      <c r="H96" s="15"/>
      <c r="I96" s="15"/>
      <c r="J96" s="15"/>
      <c r="K96" s="15"/>
      <c r="L96" s="15"/>
      <c r="M96" s="18"/>
      <c r="N96" s="18"/>
      <c r="O96" s="19"/>
      <c r="P96" s="20"/>
      <c r="R96" s="17"/>
      <c r="S96" s="22"/>
      <c r="T96" s="22"/>
    </row>
    <row r="97" spans="1:20" s="21" customFormat="1" ht="15.75">
      <c r="A97" s="23"/>
      <c r="B97" s="16"/>
      <c r="C97" s="16"/>
      <c r="D97" s="15"/>
      <c r="E97" s="17"/>
      <c r="F97" s="15"/>
      <c r="G97" s="18"/>
      <c r="H97" s="15"/>
      <c r="I97" s="15"/>
      <c r="J97" s="15"/>
      <c r="K97" s="15"/>
      <c r="L97" s="15"/>
      <c r="M97" s="18"/>
      <c r="N97" s="18"/>
      <c r="O97" s="19"/>
      <c r="P97" s="20"/>
      <c r="R97" s="17"/>
      <c r="S97" s="22"/>
      <c r="T97" s="22"/>
    </row>
    <row r="98" spans="1:20" s="21" customFormat="1" ht="15.75">
      <c r="A98" s="23"/>
      <c r="B98" s="16"/>
      <c r="C98" s="16"/>
      <c r="D98" s="15"/>
      <c r="E98" s="17"/>
      <c r="F98" s="15"/>
      <c r="G98" s="18"/>
      <c r="H98" s="15"/>
      <c r="I98" s="15"/>
      <c r="J98" s="15"/>
      <c r="K98" s="15"/>
      <c r="L98" s="15"/>
      <c r="M98" s="18"/>
      <c r="N98" s="18"/>
      <c r="O98" s="19"/>
      <c r="P98" s="20"/>
      <c r="R98" s="17"/>
      <c r="S98" s="22"/>
      <c r="T98" s="22"/>
    </row>
    <row r="99" spans="1:20" s="21" customFormat="1" ht="15.75">
      <c r="A99" s="23"/>
      <c r="B99" s="16"/>
      <c r="C99" s="16"/>
      <c r="D99" s="15"/>
      <c r="E99" s="17"/>
      <c r="F99" s="15"/>
      <c r="G99" s="18"/>
      <c r="H99" s="15"/>
      <c r="I99" s="15"/>
      <c r="J99" s="15"/>
      <c r="K99" s="15"/>
      <c r="L99" s="15"/>
      <c r="M99" s="18"/>
      <c r="N99" s="18"/>
      <c r="O99" s="19"/>
      <c r="P99" s="20"/>
      <c r="R99" s="17"/>
      <c r="S99" s="22"/>
      <c r="T99" s="22"/>
    </row>
    <row r="100" spans="1:20" s="21" customFormat="1" ht="15.75">
      <c r="A100" s="23"/>
      <c r="B100" s="16"/>
      <c r="C100" s="16"/>
      <c r="D100" s="15"/>
      <c r="E100" s="17"/>
      <c r="F100" s="15"/>
      <c r="G100" s="18"/>
      <c r="H100" s="15"/>
      <c r="I100" s="15"/>
      <c r="J100" s="15"/>
      <c r="K100" s="15"/>
      <c r="L100" s="15"/>
      <c r="M100" s="18"/>
      <c r="N100" s="18"/>
      <c r="O100" s="19"/>
      <c r="P100" s="20"/>
      <c r="R100" s="17"/>
      <c r="S100" s="22"/>
      <c r="T100" s="22"/>
    </row>
    <row r="101" spans="1:20" s="21" customFormat="1" ht="15.75">
      <c r="A101" s="23"/>
      <c r="B101" s="16"/>
      <c r="C101" s="16"/>
      <c r="D101" s="15"/>
      <c r="E101" s="17"/>
      <c r="F101" s="15"/>
      <c r="G101" s="18"/>
      <c r="H101" s="15"/>
      <c r="I101" s="15"/>
      <c r="J101" s="15"/>
      <c r="K101" s="15"/>
      <c r="L101" s="15"/>
      <c r="M101" s="18"/>
      <c r="N101" s="18"/>
      <c r="O101" s="19"/>
      <c r="P101" s="20"/>
      <c r="R101" s="17"/>
      <c r="S101" s="22"/>
      <c r="T101" s="22"/>
    </row>
    <row r="102" spans="1:20" s="21" customFormat="1" ht="15.75">
      <c r="A102" s="23"/>
      <c r="B102" s="16"/>
      <c r="C102" s="16"/>
      <c r="D102" s="15"/>
      <c r="E102" s="17"/>
      <c r="F102" s="15"/>
      <c r="G102" s="18"/>
      <c r="H102" s="15"/>
      <c r="I102" s="15"/>
      <c r="J102" s="15"/>
      <c r="K102" s="15"/>
      <c r="L102" s="15"/>
      <c r="M102" s="18"/>
      <c r="N102" s="18"/>
      <c r="O102" s="19"/>
      <c r="P102" s="20"/>
      <c r="R102" s="17"/>
      <c r="S102" s="22"/>
      <c r="T102" s="22"/>
    </row>
    <row r="103" spans="1:20" s="21" customFormat="1" ht="15.75">
      <c r="A103" s="23"/>
      <c r="B103" s="16"/>
      <c r="C103" s="16"/>
      <c r="D103" s="15"/>
      <c r="E103" s="17"/>
      <c r="F103" s="15"/>
      <c r="G103" s="18"/>
      <c r="H103" s="15"/>
      <c r="I103" s="15"/>
      <c r="J103" s="15"/>
      <c r="K103" s="15"/>
      <c r="L103" s="15"/>
      <c r="M103" s="18"/>
      <c r="N103" s="18"/>
      <c r="O103" s="19"/>
      <c r="P103" s="20"/>
      <c r="R103" s="17"/>
      <c r="S103" s="22"/>
      <c r="T103" s="22"/>
    </row>
    <row r="104" spans="1:20" s="21" customFormat="1" ht="15.75">
      <c r="A104" s="23"/>
      <c r="B104" s="16"/>
      <c r="C104" s="16"/>
      <c r="D104" s="15"/>
      <c r="E104" s="17"/>
      <c r="F104" s="15"/>
      <c r="G104" s="18"/>
      <c r="H104" s="15"/>
      <c r="I104" s="15"/>
      <c r="J104" s="15"/>
      <c r="K104" s="15"/>
      <c r="L104" s="15"/>
      <c r="M104" s="18"/>
      <c r="N104" s="18"/>
      <c r="O104" s="19"/>
      <c r="P104" s="20"/>
      <c r="R104" s="17"/>
      <c r="S104" s="22"/>
      <c r="T104" s="22"/>
    </row>
    <row r="105" spans="1:20" s="21" customFormat="1" ht="15.75">
      <c r="A105" s="23"/>
      <c r="B105" s="16"/>
      <c r="C105" s="16"/>
      <c r="D105" s="15"/>
      <c r="E105" s="17"/>
      <c r="F105" s="15"/>
      <c r="G105" s="18"/>
      <c r="H105" s="15"/>
      <c r="I105" s="15"/>
      <c r="J105" s="15"/>
      <c r="K105" s="15"/>
      <c r="L105" s="15"/>
      <c r="M105" s="18"/>
      <c r="N105" s="18"/>
      <c r="O105" s="19"/>
      <c r="P105" s="20"/>
      <c r="R105" s="17"/>
      <c r="S105" s="22"/>
      <c r="T105" s="22"/>
    </row>
    <row r="106" spans="1:20" s="21" customFormat="1" ht="15.75">
      <c r="A106" s="23"/>
      <c r="B106" s="16"/>
      <c r="C106" s="16"/>
      <c r="D106" s="15"/>
      <c r="E106" s="17"/>
      <c r="F106" s="15"/>
      <c r="G106" s="18"/>
      <c r="H106" s="15"/>
      <c r="I106" s="15"/>
      <c r="J106" s="15"/>
      <c r="K106" s="15"/>
      <c r="L106" s="15"/>
      <c r="M106" s="18"/>
      <c r="N106" s="18"/>
      <c r="O106" s="19"/>
      <c r="P106" s="20"/>
      <c r="R106" s="17"/>
      <c r="S106" s="22"/>
      <c r="T106" s="22"/>
    </row>
    <row r="107" spans="1:20" s="21" customFormat="1" ht="15.75">
      <c r="A107" s="23"/>
      <c r="B107" s="16"/>
      <c r="C107" s="16"/>
      <c r="D107" s="15"/>
      <c r="E107" s="17"/>
      <c r="F107" s="15"/>
      <c r="G107" s="18"/>
      <c r="H107" s="15"/>
      <c r="I107" s="15"/>
      <c r="J107" s="15"/>
      <c r="K107" s="15"/>
      <c r="L107" s="15"/>
      <c r="M107" s="18"/>
      <c r="N107" s="18"/>
      <c r="O107" s="19"/>
      <c r="P107" s="20"/>
      <c r="R107" s="17"/>
      <c r="S107" s="22"/>
      <c r="T107" s="22"/>
    </row>
    <row r="108" spans="1:20" s="21" customFormat="1" ht="15.75">
      <c r="A108" s="23"/>
      <c r="B108" s="16"/>
      <c r="C108" s="16"/>
      <c r="D108" s="15"/>
      <c r="E108" s="17"/>
      <c r="F108" s="15"/>
      <c r="G108" s="18"/>
      <c r="H108" s="15"/>
      <c r="I108" s="15"/>
      <c r="J108" s="15"/>
      <c r="K108" s="15"/>
      <c r="L108" s="15"/>
      <c r="M108" s="18"/>
      <c r="N108" s="18"/>
      <c r="O108" s="19"/>
      <c r="P108" s="20"/>
      <c r="R108" s="17"/>
      <c r="S108" s="22"/>
      <c r="T108" s="22"/>
    </row>
    <row r="109" spans="1:20" s="21" customFormat="1" ht="15.75">
      <c r="A109" s="23"/>
      <c r="B109" s="16"/>
      <c r="C109" s="16"/>
      <c r="D109" s="15"/>
      <c r="E109" s="17"/>
      <c r="F109" s="15"/>
      <c r="G109" s="18"/>
      <c r="H109" s="15"/>
      <c r="I109" s="15"/>
      <c r="J109" s="15"/>
      <c r="K109" s="15"/>
      <c r="L109" s="15"/>
      <c r="M109" s="18"/>
      <c r="N109" s="18"/>
      <c r="O109" s="19"/>
      <c r="P109" s="20"/>
      <c r="R109" s="17"/>
      <c r="S109" s="22"/>
      <c r="T109" s="22"/>
    </row>
    <row r="110" spans="1:20" s="21" customFormat="1" ht="15.75">
      <c r="A110" s="23"/>
      <c r="B110" s="16"/>
      <c r="C110" s="16"/>
      <c r="D110" s="15"/>
      <c r="E110" s="17"/>
      <c r="F110" s="15"/>
      <c r="G110" s="18"/>
      <c r="H110" s="15"/>
      <c r="I110" s="15"/>
      <c r="J110" s="15"/>
      <c r="K110" s="15"/>
      <c r="L110" s="15"/>
      <c r="M110" s="18"/>
      <c r="N110" s="18"/>
      <c r="O110" s="19"/>
      <c r="P110" s="20"/>
      <c r="R110" s="17"/>
      <c r="S110" s="22"/>
      <c r="T110" s="22"/>
    </row>
    <row r="111" spans="1:20" s="21" customFormat="1" ht="15.75">
      <c r="A111" s="23"/>
      <c r="B111" s="16"/>
      <c r="C111" s="16"/>
      <c r="D111" s="15"/>
      <c r="E111" s="17"/>
      <c r="F111" s="15"/>
      <c r="G111" s="18"/>
      <c r="H111" s="15"/>
      <c r="I111" s="15"/>
      <c r="J111" s="15"/>
      <c r="K111" s="15"/>
      <c r="L111" s="15"/>
      <c r="M111" s="18"/>
      <c r="N111" s="18"/>
      <c r="O111" s="19"/>
      <c r="P111" s="20"/>
      <c r="R111" s="17"/>
      <c r="S111" s="22"/>
      <c r="T111" s="22"/>
    </row>
    <row r="112" spans="1:20" s="21" customFormat="1" ht="15.75">
      <c r="A112" s="23"/>
      <c r="B112" s="16"/>
      <c r="C112" s="16"/>
      <c r="D112" s="15"/>
      <c r="E112" s="17"/>
      <c r="F112" s="15"/>
      <c r="G112" s="18"/>
      <c r="H112" s="15"/>
      <c r="I112" s="15"/>
      <c r="J112" s="15"/>
      <c r="K112" s="15"/>
      <c r="L112" s="15"/>
      <c r="M112" s="18"/>
      <c r="N112" s="18"/>
      <c r="O112" s="19"/>
      <c r="P112" s="20"/>
      <c r="R112" s="17"/>
      <c r="S112" s="22"/>
      <c r="T112" s="22"/>
    </row>
    <row r="113" spans="1:20" s="21" customFormat="1" ht="15.75">
      <c r="A113" s="23"/>
      <c r="B113" s="16"/>
      <c r="C113" s="16"/>
      <c r="D113" s="15"/>
      <c r="E113" s="17"/>
      <c r="F113" s="15"/>
      <c r="G113" s="18"/>
      <c r="H113" s="15"/>
      <c r="I113" s="15"/>
      <c r="J113" s="15"/>
      <c r="K113" s="15"/>
      <c r="L113" s="15"/>
      <c r="M113" s="18"/>
      <c r="N113" s="18"/>
      <c r="O113" s="19"/>
      <c r="P113" s="20"/>
      <c r="R113" s="17"/>
      <c r="S113" s="22"/>
      <c r="T113" s="22"/>
    </row>
    <row r="114" spans="1:20" s="21" customFormat="1" ht="15.75">
      <c r="A114" s="23"/>
      <c r="B114" s="16"/>
      <c r="C114" s="16"/>
      <c r="D114" s="15"/>
      <c r="E114" s="17"/>
      <c r="F114" s="15"/>
      <c r="G114" s="18"/>
      <c r="H114" s="15"/>
      <c r="I114" s="15"/>
      <c r="J114" s="15"/>
      <c r="K114" s="15"/>
      <c r="L114" s="15"/>
      <c r="M114" s="18"/>
      <c r="N114" s="18"/>
      <c r="O114" s="19"/>
      <c r="P114" s="20"/>
      <c r="R114" s="17"/>
      <c r="S114" s="22"/>
      <c r="T114" s="22"/>
    </row>
    <row r="115" spans="1:20" s="21" customFormat="1" ht="15.75">
      <c r="A115" s="23"/>
      <c r="B115" s="16"/>
      <c r="C115" s="16"/>
      <c r="D115" s="15"/>
      <c r="E115" s="17"/>
      <c r="F115" s="15"/>
      <c r="G115" s="18"/>
      <c r="H115" s="15"/>
      <c r="I115" s="15"/>
      <c r="J115" s="15"/>
      <c r="K115" s="15"/>
      <c r="L115" s="15"/>
      <c r="M115" s="18"/>
      <c r="N115" s="18"/>
      <c r="O115" s="19"/>
      <c r="P115" s="20"/>
      <c r="R115" s="17"/>
      <c r="S115" s="22"/>
      <c r="T115" s="22"/>
    </row>
    <row r="116" spans="1:20" s="21" customFormat="1" ht="15.75">
      <c r="A116" s="23"/>
      <c r="B116" s="16"/>
      <c r="C116" s="16"/>
      <c r="D116" s="15"/>
      <c r="E116" s="17"/>
      <c r="F116" s="15"/>
      <c r="G116" s="18"/>
      <c r="H116" s="15"/>
      <c r="I116" s="15"/>
      <c r="J116" s="15"/>
      <c r="K116" s="15"/>
      <c r="L116" s="15"/>
      <c r="M116" s="18"/>
      <c r="N116" s="18"/>
      <c r="O116" s="19"/>
      <c r="P116" s="20"/>
      <c r="R116" s="17"/>
      <c r="S116" s="22"/>
      <c r="T116" s="22"/>
    </row>
    <row r="117" spans="1:20" s="21" customFormat="1" ht="15.75">
      <c r="A117" s="23"/>
      <c r="B117" s="16"/>
      <c r="C117" s="16"/>
      <c r="D117" s="15"/>
      <c r="E117" s="17"/>
      <c r="F117" s="15"/>
      <c r="G117" s="18"/>
      <c r="H117" s="15"/>
      <c r="I117" s="15"/>
      <c r="J117" s="15"/>
      <c r="K117" s="15"/>
      <c r="L117" s="15"/>
      <c r="M117" s="18"/>
      <c r="N117" s="18"/>
      <c r="O117" s="19"/>
      <c r="P117" s="20"/>
      <c r="R117" s="17"/>
      <c r="S117" s="22"/>
      <c r="T117" s="22"/>
    </row>
    <row r="118" spans="1:20" s="21" customFormat="1" ht="15.75">
      <c r="A118" s="23"/>
      <c r="B118" s="16"/>
      <c r="C118" s="16"/>
      <c r="D118" s="15"/>
      <c r="E118" s="17"/>
      <c r="F118" s="15"/>
      <c r="G118" s="18"/>
      <c r="H118" s="15"/>
      <c r="I118" s="15"/>
      <c r="J118" s="15"/>
      <c r="K118" s="15"/>
      <c r="L118" s="15"/>
      <c r="M118" s="18"/>
      <c r="N118" s="18"/>
      <c r="O118" s="19"/>
      <c r="P118" s="20"/>
      <c r="R118" s="17"/>
      <c r="S118" s="22"/>
      <c r="T118" s="22"/>
    </row>
    <row r="119" spans="1:20" s="21" customFormat="1" ht="15.75">
      <c r="A119" s="23"/>
      <c r="B119" s="16"/>
      <c r="C119" s="16"/>
      <c r="D119" s="15"/>
      <c r="E119" s="17"/>
      <c r="F119" s="15"/>
      <c r="G119" s="18"/>
      <c r="H119" s="15"/>
      <c r="I119" s="15"/>
      <c r="J119" s="15"/>
      <c r="K119" s="15"/>
      <c r="L119" s="15"/>
      <c r="M119" s="18"/>
      <c r="N119" s="18"/>
      <c r="O119" s="19"/>
      <c r="P119" s="20"/>
      <c r="R119" s="17"/>
      <c r="S119" s="22"/>
      <c r="T119" s="22"/>
    </row>
    <row r="120" spans="1:20" s="21" customFormat="1" ht="15.75">
      <c r="A120" s="23"/>
      <c r="B120" s="16"/>
      <c r="C120" s="16"/>
      <c r="D120" s="15"/>
      <c r="E120" s="17"/>
      <c r="F120" s="15"/>
      <c r="G120" s="18"/>
      <c r="H120" s="15"/>
      <c r="I120" s="15"/>
      <c r="J120" s="15"/>
      <c r="K120" s="15"/>
      <c r="L120" s="15"/>
      <c r="M120" s="18"/>
      <c r="N120" s="18"/>
      <c r="O120" s="19"/>
      <c r="P120" s="20"/>
      <c r="R120" s="17"/>
      <c r="S120" s="22"/>
      <c r="T120" s="22"/>
    </row>
    <row r="121" spans="1:20" s="21" customFormat="1" ht="15.75">
      <c r="A121" s="23"/>
      <c r="B121" s="16"/>
      <c r="C121" s="16"/>
      <c r="D121" s="15"/>
      <c r="E121" s="17"/>
      <c r="F121" s="15"/>
      <c r="G121" s="18"/>
      <c r="H121" s="15"/>
      <c r="I121" s="15"/>
      <c r="J121" s="15"/>
      <c r="K121" s="15"/>
      <c r="L121" s="15"/>
      <c r="M121" s="18"/>
      <c r="N121" s="18"/>
      <c r="O121" s="19"/>
      <c r="P121" s="20"/>
      <c r="R121" s="17"/>
      <c r="S121" s="22"/>
      <c r="T121" s="22"/>
    </row>
    <row r="122" spans="1:20" s="21" customFormat="1" ht="15.75">
      <c r="A122" s="23"/>
      <c r="B122" s="16"/>
      <c r="C122" s="16"/>
      <c r="D122" s="15"/>
      <c r="E122" s="17"/>
      <c r="F122" s="15"/>
      <c r="G122" s="18"/>
      <c r="H122" s="15"/>
      <c r="I122" s="15"/>
      <c r="J122" s="15"/>
      <c r="K122" s="15"/>
      <c r="L122" s="15"/>
      <c r="M122" s="18"/>
      <c r="N122" s="18"/>
      <c r="O122" s="19"/>
      <c r="P122" s="20"/>
      <c r="R122" s="17"/>
      <c r="S122" s="22"/>
      <c r="T122" s="22"/>
    </row>
    <row r="123" spans="1:20" s="21" customFormat="1" ht="15.75">
      <c r="A123" s="23"/>
      <c r="B123" s="16"/>
      <c r="C123" s="16"/>
      <c r="D123" s="15"/>
      <c r="E123" s="17"/>
      <c r="F123" s="15"/>
      <c r="G123" s="18"/>
      <c r="H123" s="15"/>
      <c r="I123" s="15"/>
      <c r="J123" s="15"/>
      <c r="K123" s="15"/>
      <c r="L123" s="15"/>
      <c r="M123" s="18"/>
      <c r="N123" s="18"/>
      <c r="O123" s="19"/>
      <c r="P123" s="20"/>
      <c r="R123" s="17"/>
      <c r="S123" s="22"/>
      <c r="T123" s="22"/>
    </row>
    <row r="124" spans="1:20" s="21" customFormat="1" ht="15.75">
      <c r="A124" s="23"/>
      <c r="B124" s="16"/>
      <c r="C124" s="16"/>
      <c r="D124" s="15"/>
      <c r="E124" s="17"/>
      <c r="F124" s="15"/>
      <c r="G124" s="18"/>
      <c r="H124" s="15"/>
      <c r="I124" s="15"/>
      <c r="J124" s="15"/>
      <c r="K124" s="15"/>
      <c r="L124" s="15"/>
      <c r="M124" s="18"/>
      <c r="N124" s="18"/>
      <c r="O124" s="19"/>
      <c r="P124" s="20"/>
      <c r="R124" s="17"/>
      <c r="S124" s="22"/>
      <c r="T124" s="22"/>
    </row>
    <row r="125" spans="1:20" s="21" customFormat="1" ht="15.75">
      <c r="A125" s="23"/>
      <c r="B125" s="16"/>
      <c r="C125" s="16"/>
      <c r="D125" s="15"/>
      <c r="E125" s="17"/>
      <c r="F125" s="15"/>
      <c r="G125" s="18"/>
      <c r="H125" s="15"/>
      <c r="I125" s="15"/>
      <c r="J125" s="15"/>
      <c r="K125" s="15"/>
      <c r="L125" s="15"/>
      <c r="M125" s="18"/>
      <c r="N125" s="18"/>
      <c r="O125" s="19"/>
      <c r="P125" s="20"/>
      <c r="R125" s="17"/>
      <c r="S125" s="22"/>
      <c r="T125" s="22"/>
    </row>
    <row r="126" spans="1:20" s="21" customFormat="1" ht="15.75">
      <c r="A126" s="23"/>
      <c r="B126" s="16"/>
      <c r="C126" s="16"/>
      <c r="D126" s="15"/>
      <c r="E126" s="17"/>
      <c r="F126" s="15"/>
      <c r="G126" s="18"/>
      <c r="H126" s="15"/>
      <c r="I126" s="15"/>
      <c r="J126" s="15"/>
      <c r="K126" s="15"/>
      <c r="L126" s="15"/>
      <c r="M126" s="18"/>
      <c r="N126" s="18"/>
      <c r="O126" s="19"/>
      <c r="P126" s="20"/>
      <c r="R126" s="17"/>
      <c r="S126" s="22"/>
      <c r="T126" s="22"/>
    </row>
    <row r="127" spans="1:20" s="21" customFormat="1" ht="15.75">
      <c r="A127" s="23"/>
      <c r="B127" s="16"/>
      <c r="C127" s="16"/>
      <c r="D127" s="15"/>
      <c r="E127" s="17"/>
      <c r="F127" s="15"/>
      <c r="G127" s="18"/>
      <c r="H127" s="15"/>
      <c r="I127" s="15"/>
      <c r="J127" s="15"/>
      <c r="K127" s="15"/>
      <c r="L127" s="15"/>
      <c r="M127" s="18"/>
      <c r="N127" s="18"/>
      <c r="O127" s="19"/>
      <c r="P127" s="20"/>
      <c r="R127" s="17"/>
      <c r="S127" s="22"/>
      <c r="T127" s="22"/>
    </row>
    <row r="128" spans="1:20" s="21" customFormat="1" ht="15.75">
      <c r="A128" s="23"/>
      <c r="B128" s="16"/>
      <c r="C128" s="16"/>
      <c r="D128" s="15"/>
      <c r="E128" s="17"/>
      <c r="F128" s="15"/>
      <c r="G128" s="18"/>
      <c r="H128" s="15"/>
      <c r="I128" s="15"/>
      <c r="J128" s="15"/>
      <c r="K128" s="15"/>
      <c r="L128" s="15"/>
      <c r="M128" s="18"/>
      <c r="N128" s="18"/>
      <c r="O128" s="19"/>
      <c r="P128" s="20"/>
      <c r="R128" s="17"/>
      <c r="S128" s="22"/>
      <c r="T128" s="22"/>
    </row>
    <row r="129" spans="1:20" s="21" customFormat="1" ht="15.75">
      <c r="A129" s="23"/>
      <c r="B129" s="16"/>
      <c r="C129" s="16"/>
      <c r="D129" s="15"/>
      <c r="E129" s="17"/>
      <c r="F129" s="15"/>
      <c r="G129" s="18"/>
      <c r="H129" s="15"/>
      <c r="I129" s="15"/>
      <c r="J129" s="15"/>
      <c r="K129" s="15"/>
      <c r="L129" s="15"/>
      <c r="M129" s="18"/>
      <c r="N129" s="18"/>
      <c r="O129" s="19"/>
      <c r="P129" s="20"/>
      <c r="R129" s="17"/>
      <c r="S129" s="22"/>
      <c r="T129" s="22"/>
    </row>
    <row r="130" spans="1:20" s="21" customFormat="1" ht="15.75">
      <c r="A130" s="23"/>
      <c r="B130" s="16"/>
      <c r="C130" s="16"/>
      <c r="D130" s="15"/>
      <c r="E130" s="17"/>
      <c r="F130" s="15"/>
      <c r="G130" s="18"/>
      <c r="H130" s="15"/>
      <c r="I130" s="15"/>
      <c r="J130" s="15"/>
      <c r="K130" s="15"/>
      <c r="L130" s="15"/>
      <c r="M130" s="18"/>
      <c r="N130" s="18"/>
      <c r="O130" s="19"/>
      <c r="P130" s="20"/>
      <c r="R130" s="17"/>
      <c r="S130" s="22"/>
      <c r="T130" s="22"/>
    </row>
    <row r="131" spans="1:20" s="21" customFormat="1" ht="15.75">
      <c r="A131" s="23"/>
      <c r="B131" s="16"/>
      <c r="C131" s="16"/>
      <c r="D131" s="15"/>
      <c r="E131" s="17"/>
      <c r="F131" s="15"/>
      <c r="G131" s="18"/>
      <c r="H131" s="15"/>
      <c r="I131" s="15"/>
      <c r="J131" s="15"/>
      <c r="K131" s="15"/>
      <c r="L131" s="15"/>
      <c r="M131" s="18"/>
      <c r="N131" s="18"/>
      <c r="O131" s="19"/>
      <c r="P131" s="20"/>
      <c r="R131" s="17"/>
      <c r="S131" s="22"/>
      <c r="T131" s="22"/>
    </row>
    <row r="132" spans="1:20" s="21" customFormat="1" ht="15.75">
      <c r="A132" s="23"/>
      <c r="B132" s="16"/>
      <c r="C132" s="16"/>
      <c r="D132" s="15"/>
      <c r="E132" s="17"/>
      <c r="F132" s="15"/>
      <c r="G132" s="18"/>
      <c r="H132" s="15"/>
      <c r="I132" s="15"/>
      <c r="J132" s="15"/>
      <c r="K132" s="15"/>
      <c r="L132" s="15"/>
      <c r="M132" s="18"/>
      <c r="N132" s="18"/>
      <c r="O132" s="19"/>
      <c r="P132" s="20"/>
      <c r="R132" s="17"/>
      <c r="S132" s="22"/>
      <c r="T132" s="22"/>
    </row>
    <row r="133" spans="1:20" s="21" customFormat="1" ht="15.75">
      <c r="A133" s="23"/>
      <c r="B133" s="16"/>
      <c r="C133" s="16"/>
      <c r="D133" s="15"/>
      <c r="E133" s="17"/>
      <c r="F133" s="15"/>
      <c r="G133" s="18"/>
      <c r="H133" s="15"/>
      <c r="I133" s="15"/>
      <c r="J133" s="15"/>
      <c r="K133" s="15"/>
      <c r="L133" s="15"/>
      <c r="M133" s="18"/>
      <c r="N133" s="18"/>
      <c r="O133" s="19"/>
      <c r="P133" s="20"/>
      <c r="R133" s="17"/>
      <c r="S133" s="22"/>
      <c r="T133" s="22"/>
    </row>
    <row r="134" spans="1:20" s="21" customFormat="1" ht="15.75">
      <c r="A134" s="23"/>
      <c r="B134" s="16"/>
      <c r="C134" s="16"/>
      <c r="D134" s="15"/>
      <c r="E134" s="17"/>
      <c r="F134" s="15"/>
      <c r="G134" s="18"/>
      <c r="H134" s="15"/>
      <c r="I134" s="15"/>
      <c r="J134" s="15"/>
      <c r="K134" s="15"/>
      <c r="L134" s="15"/>
      <c r="M134" s="18"/>
      <c r="N134" s="18"/>
      <c r="O134" s="19"/>
      <c r="P134" s="20"/>
      <c r="R134" s="17"/>
      <c r="S134" s="22"/>
      <c r="T134" s="22"/>
    </row>
    <row r="135" spans="1:20" s="21" customFormat="1" ht="15.75">
      <c r="A135" s="23"/>
      <c r="B135" s="16"/>
      <c r="C135" s="16"/>
      <c r="D135" s="15"/>
      <c r="E135" s="17"/>
      <c r="F135" s="15"/>
      <c r="G135" s="18"/>
      <c r="H135" s="15"/>
      <c r="I135" s="15"/>
      <c r="J135" s="15"/>
      <c r="K135" s="15"/>
      <c r="L135" s="15"/>
      <c r="M135" s="18"/>
      <c r="N135" s="18"/>
      <c r="O135" s="19"/>
      <c r="P135" s="20"/>
      <c r="R135" s="17"/>
      <c r="S135" s="22"/>
      <c r="T135" s="22"/>
    </row>
    <row r="136" spans="1:20" s="21" customFormat="1" ht="15.75">
      <c r="A136" s="23"/>
      <c r="B136" s="16"/>
      <c r="C136" s="16"/>
      <c r="D136" s="15"/>
      <c r="E136" s="17"/>
      <c r="F136" s="15"/>
      <c r="G136" s="18"/>
      <c r="H136" s="15"/>
      <c r="I136" s="15"/>
      <c r="J136" s="15"/>
      <c r="K136" s="15"/>
      <c r="L136" s="15"/>
      <c r="M136" s="18"/>
      <c r="N136" s="18"/>
      <c r="O136" s="19"/>
      <c r="P136" s="20"/>
      <c r="R136" s="17"/>
      <c r="S136" s="22"/>
      <c r="T136" s="22"/>
    </row>
    <row r="137" spans="1:20" s="21" customFormat="1" ht="15.75">
      <c r="A137" s="23"/>
      <c r="B137" s="16"/>
      <c r="C137" s="16"/>
      <c r="D137" s="15"/>
      <c r="E137" s="17"/>
      <c r="F137" s="15"/>
      <c r="G137" s="18"/>
      <c r="H137" s="15"/>
      <c r="I137" s="15"/>
      <c r="J137" s="15"/>
      <c r="K137" s="15"/>
      <c r="L137" s="15"/>
      <c r="M137" s="18"/>
      <c r="N137" s="18"/>
      <c r="O137" s="19"/>
      <c r="P137" s="20"/>
      <c r="R137" s="17"/>
      <c r="S137" s="22"/>
      <c r="T137" s="22"/>
    </row>
    <row r="138" spans="1:20" s="21" customFormat="1" ht="15.75">
      <c r="A138" s="23"/>
      <c r="B138" s="16"/>
      <c r="C138" s="16"/>
      <c r="D138" s="15"/>
      <c r="E138" s="17"/>
      <c r="F138" s="15"/>
      <c r="G138" s="18"/>
      <c r="H138" s="15"/>
      <c r="I138" s="15"/>
      <c r="J138" s="15"/>
      <c r="K138" s="15"/>
      <c r="L138" s="15"/>
      <c r="M138" s="18"/>
      <c r="N138" s="18"/>
      <c r="O138" s="19"/>
      <c r="P138" s="20"/>
      <c r="R138" s="17"/>
      <c r="S138" s="22"/>
      <c r="T138" s="22"/>
    </row>
    <row r="139" spans="1:20" s="21" customFormat="1" ht="15.75">
      <c r="A139" s="23"/>
      <c r="B139" s="16"/>
      <c r="C139" s="16"/>
      <c r="D139" s="15"/>
      <c r="E139" s="17"/>
      <c r="F139" s="15"/>
      <c r="G139" s="18"/>
      <c r="H139" s="15"/>
      <c r="I139" s="15"/>
      <c r="J139" s="15"/>
      <c r="K139" s="15"/>
      <c r="L139" s="15"/>
      <c r="M139" s="18"/>
      <c r="N139" s="18"/>
      <c r="O139" s="19"/>
      <c r="P139" s="20"/>
      <c r="R139" s="17"/>
      <c r="S139" s="22"/>
      <c r="T139" s="22"/>
    </row>
    <row r="140" spans="1:20" s="21" customFormat="1" ht="15.75">
      <c r="A140" s="23"/>
      <c r="B140" s="16"/>
      <c r="C140" s="16"/>
      <c r="D140" s="15"/>
      <c r="E140" s="17"/>
      <c r="F140" s="15"/>
      <c r="G140" s="18"/>
      <c r="H140" s="15"/>
      <c r="I140" s="15"/>
      <c r="J140" s="15"/>
      <c r="K140" s="15"/>
      <c r="L140" s="15"/>
      <c r="M140" s="18"/>
      <c r="N140" s="18"/>
      <c r="O140" s="19"/>
      <c r="P140" s="20"/>
      <c r="R140" s="17"/>
      <c r="S140" s="22"/>
      <c r="T140" s="22"/>
    </row>
    <row r="141" spans="1:20" s="21" customFormat="1" ht="15.75">
      <c r="A141" s="23"/>
      <c r="B141" s="16"/>
      <c r="C141" s="16"/>
      <c r="D141" s="15"/>
      <c r="E141" s="17"/>
      <c r="F141" s="15"/>
      <c r="G141" s="18"/>
      <c r="H141" s="15"/>
      <c r="I141" s="15"/>
      <c r="J141" s="15"/>
      <c r="K141" s="15"/>
      <c r="L141" s="15"/>
      <c r="M141" s="18"/>
      <c r="N141" s="18"/>
      <c r="O141" s="19"/>
      <c r="P141" s="20"/>
      <c r="R141" s="17"/>
      <c r="S141" s="22"/>
      <c r="T141" s="22"/>
    </row>
    <row r="142" spans="1:20" s="21" customFormat="1" ht="15.75">
      <c r="A142" s="23"/>
      <c r="B142" s="16"/>
      <c r="C142" s="16"/>
      <c r="D142" s="15"/>
      <c r="E142" s="17"/>
      <c r="F142" s="15"/>
      <c r="G142" s="18"/>
      <c r="H142" s="15"/>
      <c r="I142" s="15"/>
      <c r="J142" s="15"/>
      <c r="K142" s="15"/>
      <c r="L142" s="15"/>
      <c r="M142" s="18"/>
      <c r="N142" s="18"/>
      <c r="O142" s="19"/>
      <c r="P142" s="20"/>
      <c r="R142" s="17"/>
      <c r="S142" s="22"/>
      <c r="T142" s="22"/>
    </row>
    <row r="143" spans="1:20" s="21" customFormat="1" ht="15.75">
      <c r="A143" s="23"/>
      <c r="B143" s="16"/>
      <c r="C143" s="16"/>
      <c r="D143" s="15"/>
      <c r="E143" s="17"/>
      <c r="F143" s="15"/>
      <c r="G143" s="18"/>
      <c r="H143" s="15"/>
      <c r="I143" s="15"/>
      <c r="J143" s="15"/>
      <c r="K143" s="15"/>
      <c r="L143" s="15"/>
      <c r="M143" s="18"/>
      <c r="N143" s="18"/>
      <c r="O143" s="19"/>
      <c r="P143" s="20"/>
      <c r="R143" s="17"/>
      <c r="S143" s="22"/>
      <c r="T143" s="22"/>
    </row>
    <row r="144" spans="1:20" s="21" customFormat="1" ht="15.75">
      <c r="A144" s="23"/>
      <c r="B144" s="16"/>
      <c r="C144" s="16"/>
      <c r="D144" s="15"/>
      <c r="E144" s="17"/>
      <c r="F144" s="15"/>
      <c r="G144" s="18"/>
      <c r="H144" s="15"/>
      <c r="I144" s="15"/>
      <c r="J144" s="15"/>
      <c r="K144" s="15"/>
      <c r="L144" s="15"/>
      <c r="M144" s="18"/>
      <c r="N144" s="18"/>
      <c r="O144" s="19"/>
      <c r="P144" s="20"/>
      <c r="R144" s="17"/>
      <c r="S144" s="22"/>
      <c r="T144" s="22"/>
    </row>
    <row r="145" spans="1:20" s="21" customFormat="1" ht="15.75">
      <c r="A145" s="23"/>
      <c r="B145" s="16"/>
      <c r="C145" s="16"/>
      <c r="D145" s="15"/>
      <c r="E145" s="17"/>
      <c r="F145" s="15"/>
      <c r="G145" s="18"/>
      <c r="H145" s="15"/>
      <c r="I145" s="15"/>
      <c r="J145" s="15"/>
      <c r="K145" s="15"/>
      <c r="L145" s="15"/>
      <c r="M145" s="18"/>
      <c r="N145" s="18"/>
      <c r="O145" s="19"/>
      <c r="P145" s="20"/>
      <c r="R145" s="17"/>
      <c r="S145" s="22"/>
      <c r="T145" s="22"/>
    </row>
    <row r="146" spans="1:20" s="21" customFormat="1" ht="15.75">
      <c r="A146" s="23"/>
      <c r="B146" s="16"/>
      <c r="C146" s="16"/>
      <c r="D146" s="15"/>
      <c r="E146" s="17"/>
      <c r="F146" s="15"/>
      <c r="G146" s="18"/>
      <c r="H146" s="15"/>
      <c r="I146" s="15"/>
      <c r="J146" s="15"/>
      <c r="K146" s="15"/>
      <c r="L146" s="15"/>
      <c r="M146" s="18"/>
      <c r="N146" s="18"/>
      <c r="O146" s="19"/>
      <c r="P146" s="20"/>
      <c r="R146" s="17"/>
      <c r="S146" s="22"/>
      <c r="T146" s="22"/>
    </row>
    <row r="147" spans="1:20" s="21" customFormat="1" ht="15.75">
      <c r="A147" s="23"/>
      <c r="B147" s="16"/>
      <c r="C147" s="16"/>
      <c r="D147" s="15"/>
      <c r="E147" s="17"/>
      <c r="F147" s="15"/>
      <c r="G147" s="18"/>
      <c r="H147" s="15"/>
      <c r="I147" s="15"/>
      <c r="J147" s="15"/>
      <c r="K147" s="15"/>
      <c r="L147" s="15"/>
      <c r="M147" s="18"/>
      <c r="N147" s="18"/>
      <c r="O147" s="19"/>
      <c r="P147" s="20"/>
      <c r="R147" s="17"/>
      <c r="S147" s="22"/>
      <c r="T147" s="22"/>
    </row>
    <row r="148" spans="1:20" s="21" customFormat="1" ht="15.75">
      <c r="A148" s="23"/>
      <c r="B148" s="16"/>
      <c r="C148" s="16"/>
      <c r="D148" s="15"/>
      <c r="E148" s="17"/>
      <c r="F148" s="15"/>
      <c r="G148" s="18"/>
      <c r="H148" s="15"/>
      <c r="I148" s="15"/>
      <c r="J148" s="15"/>
      <c r="K148" s="15"/>
      <c r="L148" s="15"/>
      <c r="M148" s="18"/>
      <c r="N148" s="18"/>
      <c r="O148" s="19"/>
      <c r="P148" s="20"/>
      <c r="R148" s="17"/>
      <c r="S148" s="22"/>
      <c r="T148" s="22"/>
    </row>
    <row r="149" spans="1:20" s="21" customFormat="1" ht="15.75">
      <c r="A149" s="23"/>
      <c r="B149" s="16"/>
      <c r="C149" s="16"/>
      <c r="D149" s="15"/>
      <c r="E149" s="17"/>
      <c r="F149" s="15"/>
      <c r="G149" s="18"/>
      <c r="H149" s="15"/>
      <c r="I149" s="15"/>
      <c r="J149" s="15"/>
      <c r="K149" s="15"/>
      <c r="L149" s="15"/>
      <c r="M149" s="18"/>
      <c r="N149" s="18"/>
      <c r="O149" s="19"/>
      <c r="P149" s="20"/>
      <c r="R149" s="17"/>
      <c r="S149" s="22"/>
      <c r="T149" s="22"/>
    </row>
    <row r="150" spans="1:20" s="21" customFormat="1" ht="15.75">
      <c r="A150" s="23"/>
      <c r="B150" s="16"/>
      <c r="C150" s="16"/>
      <c r="D150" s="15"/>
      <c r="E150" s="17"/>
      <c r="F150" s="15"/>
      <c r="G150" s="18"/>
      <c r="H150" s="15"/>
      <c r="I150" s="15"/>
      <c r="J150" s="15"/>
      <c r="K150" s="15"/>
      <c r="L150" s="15"/>
      <c r="M150" s="18"/>
      <c r="N150" s="18"/>
      <c r="O150" s="19"/>
      <c r="P150" s="20"/>
      <c r="R150" s="17"/>
      <c r="S150" s="22"/>
      <c r="T150" s="22"/>
    </row>
    <row r="151" spans="1:20" s="21" customFormat="1" ht="15.75">
      <c r="A151" s="23"/>
      <c r="B151" s="16"/>
      <c r="C151" s="16"/>
      <c r="D151" s="15"/>
      <c r="E151" s="17"/>
      <c r="F151" s="15"/>
      <c r="G151" s="18"/>
      <c r="H151" s="15"/>
      <c r="I151" s="15"/>
      <c r="J151" s="15"/>
      <c r="K151" s="15"/>
      <c r="L151" s="15"/>
      <c r="M151" s="18"/>
      <c r="N151" s="18"/>
      <c r="O151" s="19"/>
      <c r="P151" s="20"/>
      <c r="R151" s="17"/>
      <c r="S151" s="22"/>
      <c r="T151" s="22"/>
    </row>
    <row r="152" spans="1:20" s="21" customFormat="1" ht="15.75">
      <c r="A152" s="23"/>
      <c r="B152" s="16"/>
      <c r="C152" s="16"/>
      <c r="D152" s="15"/>
      <c r="E152" s="17"/>
      <c r="F152" s="15"/>
      <c r="G152" s="18"/>
      <c r="H152" s="15"/>
      <c r="I152" s="15"/>
      <c r="J152" s="15"/>
      <c r="K152" s="15"/>
      <c r="L152" s="15"/>
      <c r="M152" s="18"/>
      <c r="N152" s="18"/>
      <c r="O152" s="19"/>
      <c r="P152" s="20"/>
      <c r="R152" s="17"/>
      <c r="S152" s="22"/>
      <c r="T152" s="22"/>
    </row>
    <row r="153" spans="1:20" s="21" customFormat="1" ht="15.75">
      <c r="A153" s="23"/>
      <c r="B153" s="16"/>
      <c r="C153" s="16"/>
      <c r="D153" s="15"/>
      <c r="E153" s="17"/>
      <c r="F153" s="15"/>
      <c r="G153" s="18"/>
      <c r="H153" s="15"/>
      <c r="I153" s="15"/>
      <c r="J153" s="15"/>
      <c r="K153" s="15"/>
      <c r="L153" s="15"/>
      <c r="M153" s="18"/>
      <c r="N153" s="18"/>
      <c r="O153" s="19"/>
      <c r="P153" s="20"/>
      <c r="R153" s="17"/>
      <c r="S153" s="22"/>
      <c r="T153" s="22"/>
    </row>
    <row r="154" spans="1:20" s="21" customFormat="1" ht="15.75">
      <c r="A154" s="23"/>
      <c r="B154" s="16"/>
      <c r="C154" s="16"/>
      <c r="D154" s="15"/>
      <c r="E154" s="17"/>
      <c r="F154" s="15"/>
      <c r="G154" s="18"/>
      <c r="H154" s="15"/>
      <c r="I154" s="15"/>
      <c r="J154" s="15"/>
      <c r="K154" s="15"/>
      <c r="L154" s="15"/>
      <c r="M154" s="18"/>
      <c r="N154" s="18"/>
      <c r="O154" s="19"/>
      <c r="P154" s="20"/>
      <c r="R154" s="17"/>
      <c r="S154" s="22"/>
      <c r="T154" s="22"/>
    </row>
    <row r="155" spans="1:20" s="21" customFormat="1" ht="15.75">
      <c r="A155" s="23"/>
      <c r="B155" s="16"/>
      <c r="C155" s="16"/>
      <c r="D155" s="15"/>
      <c r="E155" s="17"/>
      <c r="F155" s="15"/>
      <c r="G155" s="18"/>
      <c r="H155" s="15"/>
      <c r="I155" s="15"/>
      <c r="J155" s="15"/>
      <c r="K155" s="15"/>
      <c r="L155" s="15"/>
      <c r="M155" s="18"/>
      <c r="N155" s="18"/>
      <c r="O155" s="19"/>
      <c r="P155" s="20"/>
      <c r="R155" s="17"/>
      <c r="S155" s="22"/>
      <c r="T155" s="22"/>
    </row>
    <row r="156" spans="1:20" s="21" customFormat="1" ht="15.75">
      <c r="A156" s="23"/>
      <c r="B156" s="16"/>
      <c r="C156" s="16"/>
      <c r="D156" s="15"/>
      <c r="E156" s="17"/>
      <c r="F156" s="15"/>
      <c r="G156" s="18"/>
      <c r="H156" s="15"/>
      <c r="I156" s="15"/>
      <c r="J156" s="15"/>
      <c r="K156" s="15"/>
      <c r="L156" s="15"/>
      <c r="M156" s="18"/>
      <c r="N156" s="18"/>
      <c r="O156" s="19"/>
      <c r="P156" s="20"/>
      <c r="R156" s="17"/>
      <c r="S156" s="22"/>
      <c r="T156" s="22"/>
    </row>
    <row r="157" spans="1:20" s="21" customFormat="1" ht="15.75">
      <c r="A157" s="23"/>
      <c r="B157" s="16"/>
      <c r="C157" s="16"/>
      <c r="D157" s="15"/>
      <c r="E157" s="17"/>
      <c r="F157" s="15"/>
      <c r="G157" s="18"/>
      <c r="H157" s="15"/>
      <c r="I157" s="15"/>
      <c r="J157" s="15"/>
      <c r="K157" s="15"/>
      <c r="L157" s="15"/>
      <c r="M157" s="18"/>
      <c r="N157" s="18"/>
      <c r="O157" s="19"/>
      <c r="P157" s="20"/>
      <c r="R157" s="17"/>
      <c r="S157" s="22"/>
      <c r="T157" s="22"/>
    </row>
    <row r="158" spans="1:20" s="21" customFormat="1" ht="15.75">
      <c r="A158" s="23"/>
      <c r="B158" s="16"/>
      <c r="C158" s="16"/>
      <c r="D158" s="15"/>
      <c r="E158" s="17"/>
      <c r="F158" s="15"/>
      <c r="G158" s="18"/>
      <c r="H158" s="15"/>
      <c r="I158" s="15"/>
      <c r="J158" s="15"/>
      <c r="K158" s="15"/>
      <c r="L158" s="15"/>
      <c r="M158" s="18"/>
      <c r="N158" s="18"/>
      <c r="O158" s="19"/>
      <c r="P158" s="20"/>
      <c r="R158" s="17"/>
      <c r="S158" s="22"/>
      <c r="T158" s="22"/>
    </row>
    <row r="159" spans="1:20" s="21" customFormat="1" ht="15.75">
      <c r="A159" s="23"/>
      <c r="B159" s="16"/>
      <c r="C159" s="16"/>
      <c r="D159" s="15"/>
      <c r="E159" s="17"/>
      <c r="F159" s="15"/>
      <c r="G159" s="18"/>
      <c r="H159" s="15"/>
      <c r="I159" s="15"/>
      <c r="J159" s="15"/>
      <c r="K159" s="15"/>
      <c r="L159" s="15"/>
      <c r="M159" s="18"/>
      <c r="N159" s="18"/>
      <c r="O159" s="19"/>
      <c r="P159" s="20"/>
      <c r="R159" s="17"/>
      <c r="S159" s="22"/>
      <c r="T159" s="22"/>
    </row>
    <row r="160" spans="1:20" s="21" customFormat="1" ht="15.75">
      <c r="A160" s="23"/>
      <c r="B160" s="16"/>
      <c r="C160" s="16"/>
      <c r="D160" s="15"/>
      <c r="E160" s="17"/>
      <c r="F160" s="15"/>
      <c r="G160" s="18"/>
      <c r="H160" s="15"/>
      <c r="I160" s="15"/>
      <c r="J160" s="15"/>
      <c r="K160" s="15"/>
      <c r="L160" s="15"/>
      <c r="M160" s="18"/>
      <c r="N160" s="18"/>
      <c r="O160" s="19"/>
      <c r="P160" s="20"/>
      <c r="R160" s="17"/>
      <c r="S160" s="22"/>
      <c r="T160" s="22"/>
    </row>
    <row r="161" spans="1:20" s="21" customFormat="1" ht="15.75">
      <c r="A161" s="23"/>
      <c r="B161" s="16"/>
      <c r="C161" s="16"/>
      <c r="D161" s="15"/>
      <c r="E161" s="17"/>
      <c r="F161" s="15"/>
      <c r="G161" s="18"/>
      <c r="H161" s="15"/>
      <c r="I161" s="15"/>
      <c r="J161" s="15"/>
      <c r="K161" s="15"/>
      <c r="L161" s="15"/>
      <c r="M161" s="18"/>
      <c r="N161" s="18"/>
      <c r="O161" s="19"/>
      <c r="P161" s="20"/>
      <c r="R161" s="17"/>
      <c r="S161" s="22"/>
      <c r="T161" s="22"/>
    </row>
    <row r="162" spans="1:20" s="21" customFormat="1" ht="15.75">
      <c r="A162" s="23"/>
      <c r="B162" s="16"/>
      <c r="C162" s="16"/>
      <c r="D162" s="15"/>
      <c r="E162" s="17"/>
      <c r="F162" s="15"/>
      <c r="G162" s="18"/>
      <c r="H162" s="15"/>
      <c r="I162" s="15"/>
      <c r="J162" s="15"/>
      <c r="K162" s="15"/>
      <c r="L162" s="15"/>
      <c r="M162" s="18"/>
      <c r="N162" s="18"/>
      <c r="O162" s="19"/>
      <c r="P162" s="20"/>
      <c r="R162" s="17"/>
      <c r="S162" s="22"/>
      <c r="T162" s="22"/>
    </row>
    <row r="163" spans="1:20" s="21" customFormat="1" ht="15.75">
      <c r="A163" s="23"/>
      <c r="B163" s="16"/>
      <c r="C163" s="16"/>
      <c r="D163" s="15"/>
      <c r="E163" s="17"/>
      <c r="F163" s="15"/>
      <c r="G163" s="18"/>
      <c r="H163" s="15"/>
      <c r="I163" s="15"/>
      <c r="J163" s="15"/>
      <c r="K163" s="15"/>
      <c r="L163" s="15"/>
      <c r="M163" s="18"/>
      <c r="N163" s="18"/>
      <c r="O163" s="19"/>
      <c r="P163" s="20"/>
      <c r="R163" s="17"/>
      <c r="S163" s="22"/>
      <c r="T163" s="22"/>
    </row>
    <row r="164" spans="1:20" s="21" customFormat="1" ht="15.75">
      <c r="A164" s="23"/>
      <c r="B164" s="16"/>
      <c r="C164" s="16"/>
      <c r="D164" s="15"/>
      <c r="E164" s="17"/>
      <c r="F164" s="15"/>
      <c r="G164" s="18"/>
      <c r="H164" s="15"/>
      <c r="I164" s="15"/>
      <c r="J164" s="15"/>
      <c r="K164" s="15"/>
      <c r="L164" s="15"/>
      <c r="M164" s="18"/>
      <c r="N164" s="18"/>
      <c r="O164" s="19"/>
      <c r="P164" s="20"/>
      <c r="R164" s="17"/>
      <c r="S164" s="22"/>
      <c r="T164" s="22"/>
    </row>
    <row r="165" spans="1:20" s="21" customFormat="1" ht="15.75">
      <c r="A165" s="23"/>
      <c r="B165" s="16"/>
      <c r="C165" s="16"/>
      <c r="D165" s="15"/>
      <c r="E165" s="17"/>
      <c r="F165" s="15"/>
      <c r="G165" s="18"/>
      <c r="H165" s="15"/>
      <c r="I165" s="15"/>
      <c r="J165" s="15"/>
      <c r="K165" s="15"/>
      <c r="L165" s="15"/>
      <c r="M165" s="18"/>
      <c r="N165" s="18"/>
      <c r="O165" s="19"/>
      <c r="P165" s="20"/>
      <c r="R165" s="17"/>
      <c r="S165" s="22"/>
      <c r="T165" s="22"/>
    </row>
    <row r="166" spans="1:20" s="21" customFormat="1" ht="15.75">
      <c r="A166" s="23"/>
      <c r="B166" s="16"/>
      <c r="C166" s="16"/>
      <c r="D166" s="15"/>
      <c r="E166" s="17"/>
      <c r="F166" s="15"/>
      <c r="G166" s="18"/>
      <c r="H166" s="15"/>
      <c r="I166" s="15"/>
      <c r="J166" s="15"/>
      <c r="K166" s="15"/>
      <c r="L166" s="15"/>
      <c r="M166" s="18"/>
      <c r="N166" s="18"/>
      <c r="O166" s="19"/>
      <c r="P166" s="20"/>
      <c r="R166" s="17"/>
      <c r="S166" s="22"/>
      <c r="T166" s="22"/>
    </row>
    <row r="167" spans="1:20" s="21" customFormat="1" ht="15.75">
      <c r="A167" s="23"/>
      <c r="B167" s="16"/>
      <c r="C167" s="16"/>
      <c r="D167" s="15"/>
      <c r="E167" s="17"/>
      <c r="F167" s="15"/>
      <c r="G167" s="18"/>
      <c r="H167" s="15"/>
      <c r="I167" s="15"/>
      <c r="J167" s="15"/>
      <c r="K167" s="15"/>
      <c r="L167" s="15"/>
      <c r="M167" s="18"/>
      <c r="N167" s="18"/>
      <c r="O167" s="19"/>
      <c r="P167" s="20"/>
      <c r="R167" s="17"/>
      <c r="S167" s="22"/>
      <c r="T167" s="22"/>
    </row>
    <row r="168" spans="1:20" s="21" customFormat="1" ht="15.75">
      <c r="A168" s="23"/>
      <c r="B168" s="16"/>
      <c r="C168" s="16"/>
      <c r="D168" s="15"/>
      <c r="E168" s="17"/>
      <c r="F168" s="15"/>
      <c r="G168" s="18"/>
      <c r="H168" s="15"/>
      <c r="I168" s="15"/>
      <c r="J168" s="15"/>
      <c r="K168" s="15"/>
      <c r="L168" s="15"/>
      <c r="M168" s="18"/>
      <c r="N168" s="18"/>
      <c r="O168" s="19"/>
      <c r="P168" s="20"/>
      <c r="R168" s="17"/>
      <c r="S168" s="22"/>
      <c r="T168" s="22"/>
    </row>
    <row r="169" spans="1:20" s="21" customFormat="1" ht="15.75">
      <c r="A169" s="23"/>
      <c r="B169" s="16"/>
      <c r="C169" s="16"/>
      <c r="D169" s="15"/>
      <c r="E169" s="17"/>
      <c r="F169" s="15"/>
      <c r="G169" s="18"/>
      <c r="H169" s="15"/>
      <c r="I169" s="15"/>
      <c r="J169" s="15"/>
      <c r="K169" s="15"/>
      <c r="L169" s="15"/>
      <c r="M169" s="18"/>
      <c r="N169" s="18"/>
      <c r="O169" s="19"/>
      <c r="P169" s="20"/>
      <c r="R169" s="17"/>
      <c r="S169" s="22"/>
      <c r="T169" s="22"/>
    </row>
    <row r="170" spans="1:20" s="21" customFormat="1" ht="15.75">
      <c r="A170" s="23"/>
      <c r="B170" s="16"/>
      <c r="C170" s="16"/>
      <c r="D170" s="15"/>
      <c r="E170" s="17"/>
      <c r="F170" s="15"/>
      <c r="G170" s="18"/>
      <c r="H170" s="15"/>
      <c r="I170" s="15"/>
      <c r="J170" s="15"/>
      <c r="K170" s="15"/>
      <c r="L170" s="15"/>
      <c r="M170" s="18"/>
      <c r="N170" s="18"/>
      <c r="O170" s="19"/>
      <c r="P170" s="20"/>
      <c r="R170" s="17"/>
      <c r="S170" s="22"/>
      <c r="T170" s="22"/>
    </row>
    <row r="171" spans="1:20" s="21" customFormat="1" ht="15.75">
      <c r="A171" s="23"/>
      <c r="B171" s="16"/>
      <c r="C171" s="16"/>
      <c r="D171" s="15"/>
      <c r="E171" s="17"/>
      <c r="F171" s="15"/>
      <c r="G171" s="18"/>
      <c r="H171" s="15"/>
      <c r="I171" s="15"/>
      <c r="J171" s="15"/>
      <c r="K171" s="15"/>
      <c r="L171" s="15"/>
      <c r="M171" s="18"/>
      <c r="N171" s="18"/>
      <c r="O171" s="19"/>
      <c r="P171" s="20"/>
      <c r="R171" s="17"/>
      <c r="S171" s="22"/>
      <c r="T171" s="22"/>
    </row>
    <row r="172" spans="1:20" s="21" customFormat="1" ht="15.75">
      <c r="A172" s="23"/>
      <c r="B172" s="16"/>
      <c r="C172" s="16"/>
      <c r="D172" s="15"/>
      <c r="E172" s="17"/>
      <c r="F172" s="15"/>
      <c r="G172" s="18"/>
      <c r="H172" s="15"/>
      <c r="I172" s="15"/>
      <c r="J172" s="15"/>
      <c r="K172" s="15"/>
      <c r="L172" s="15"/>
      <c r="M172" s="18"/>
      <c r="N172" s="18"/>
      <c r="O172" s="19"/>
      <c r="P172" s="20"/>
      <c r="R172" s="17"/>
      <c r="S172" s="22"/>
      <c r="T172" s="22"/>
    </row>
    <row r="173" spans="1:20" s="21" customFormat="1" ht="15.75">
      <c r="A173" s="23"/>
      <c r="B173" s="16"/>
      <c r="C173" s="16"/>
      <c r="D173" s="15"/>
      <c r="E173" s="17"/>
      <c r="F173" s="15"/>
      <c r="G173" s="18"/>
      <c r="H173" s="15"/>
      <c r="I173" s="15"/>
      <c r="J173" s="15"/>
      <c r="K173" s="15"/>
      <c r="L173" s="15"/>
      <c r="M173" s="18"/>
      <c r="N173" s="18"/>
      <c r="O173" s="19"/>
      <c r="P173" s="20"/>
      <c r="R173" s="17"/>
      <c r="S173" s="22"/>
      <c r="T173" s="22"/>
    </row>
    <row r="174" spans="1:20" s="21" customFormat="1" ht="15.75">
      <c r="A174" s="23"/>
      <c r="B174" s="16"/>
      <c r="C174" s="16"/>
      <c r="D174" s="15"/>
      <c r="E174" s="17"/>
      <c r="F174" s="15"/>
      <c r="G174" s="18"/>
      <c r="H174" s="15"/>
      <c r="I174" s="15"/>
      <c r="J174" s="15"/>
      <c r="K174" s="15"/>
      <c r="L174" s="15"/>
      <c r="M174" s="18"/>
      <c r="N174" s="18"/>
      <c r="O174" s="19"/>
      <c r="P174" s="20"/>
      <c r="R174" s="17"/>
      <c r="S174" s="22"/>
      <c r="T174" s="22"/>
    </row>
    <row r="175" spans="1:20" s="21" customFormat="1" ht="15.75">
      <c r="A175" s="23"/>
      <c r="B175" s="16"/>
      <c r="C175" s="16"/>
      <c r="D175" s="15"/>
      <c r="E175" s="17"/>
      <c r="F175" s="15"/>
      <c r="G175" s="18"/>
      <c r="H175" s="15"/>
      <c r="I175" s="15"/>
      <c r="J175" s="15"/>
      <c r="K175" s="15"/>
      <c r="L175" s="15"/>
      <c r="M175" s="18"/>
      <c r="N175" s="18"/>
      <c r="O175" s="19"/>
      <c r="P175" s="20"/>
      <c r="R175" s="17"/>
      <c r="S175" s="22"/>
      <c r="T175" s="22"/>
    </row>
    <row r="176" spans="1:20" s="21" customFormat="1" ht="15.75">
      <c r="A176" s="23"/>
      <c r="B176" s="16"/>
      <c r="C176" s="16"/>
      <c r="D176" s="15"/>
      <c r="E176" s="17"/>
      <c r="F176" s="15"/>
      <c r="G176" s="18"/>
      <c r="H176" s="15"/>
      <c r="I176" s="15"/>
      <c r="J176" s="15"/>
      <c r="K176" s="15"/>
      <c r="L176" s="15"/>
      <c r="M176" s="18"/>
      <c r="N176" s="18"/>
      <c r="O176" s="19"/>
      <c r="P176" s="20"/>
      <c r="R176" s="17"/>
      <c r="S176" s="22"/>
      <c r="T176" s="22"/>
    </row>
    <row r="177" spans="1:20" s="21" customFormat="1" ht="15.75">
      <c r="A177" s="23"/>
      <c r="B177" s="16"/>
      <c r="C177" s="16"/>
      <c r="D177" s="15"/>
      <c r="E177" s="17"/>
      <c r="F177" s="15"/>
      <c r="G177" s="18"/>
      <c r="H177" s="15"/>
      <c r="I177" s="15"/>
      <c r="J177" s="15"/>
      <c r="K177" s="15"/>
      <c r="L177" s="15"/>
      <c r="M177" s="18"/>
      <c r="N177" s="18"/>
      <c r="O177" s="19"/>
      <c r="P177" s="20"/>
      <c r="R177" s="17"/>
      <c r="S177" s="22"/>
      <c r="T177" s="22"/>
    </row>
    <row r="178" spans="1:20" s="21" customFormat="1" ht="15.75">
      <c r="A178" s="23"/>
      <c r="B178" s="16"/>
      <c r="C178" s="16"/>
      <c r="D178" s="15"/>
      <c r="E178" s="17"/>
      <c r="F178" s="15"/>
      <c r="G178" s="18"/>
      <c r="H178" s="15"/>
      <c r="I178" s="15"/>
      <c r="J178" s="15"/>
      <c r="K178" s="15"/>
      <c r="L178" s="15"/>
      <c r="M178" s="18"/>
      <c r="N178" s="18"/>
      <c r="O178" s="19"/>
      <c r="P178" s="20"/>
      <c r="R178" s="17"/>
      <c r="S178" s="22"/>
      <c r="T178" s="22"/>
    </row>
    <row r="179" spans="1:20" s="21" customFormat="1" ht="15.75">
      <c r="A179" s="23"/>
      <c r="B179" s="16"/>
      <c r="C179" s="16"/>
      <c r="D179" s="15"/>
      <c r="E179" s="17"/>
      <c r="F179" s="15"/>
      <c r="G179" s="18"/>
      <c r="H179" s="15"/>
      <c r="I179" s="15"/>
      <c r="J179" s="15"/>
      <c r="K179" s="15"/>
      <c r="L179" s="15"/>
      <c r="M179" s="18"/>
      <c r="N179" s="18"/>
      <c r="O179" s="19"/>
      <c r="P179" s="20"/>
      <c r="R179" s="17"/>
      <c r="S179" s="22"/>
      <c r="T179" s="22"/>
    </row>
    <row r="180" spans="1:20" s="21" customFormat="1" ht="15.75">
      <c r="A180" s="23"/>
      <c r="B180" s="16"/>
      <c r="C180" s="16"/>
      <c r="D180" s="15"/>
      <c r="E180" s="17"/>
      <c r="F180" s="15"/>
      <c r="G180" s="18"/>
      <c r="H180" s="15"/>
      <c r="I180" s="15"/>
      <c r="J180" s="15"/>
      <c r="K180" s="15"/>
      <c r="L180" s="15"/>
      <c r="M180" s="18"/>
      <c r="N180" s="18"/>
      <c r="O180" s="19"/>
      <c r="P180" s="20"/>
      <c r="R180" s="17"/>
      <c r="S180" s="22"/>
      <c r="T180" s="22"/>
    </row>
    <row r="181" spans="1:20" s="21" customFormat="1" ht="15.75">
      <c r="A181" s="23"/>
      <c r="B181" s="16"/>
      <c r="C181" s="16"/>
      <c r="D181" s="15"/>
      <c r="E181" s="17"/>
      <c r="F181" s="15"/>
      <c r="G181" s="18"/>
      <c r="H181" s="15"/>
      <c r="I181" s="15"/>
      <c r="J181" s="15"/>
      <c r="K181" s="15"/>
      <c r="L181" s="15"/>
      <c r="M181" s="18"/>
      <c r="N181" s="18"/>
      <c r="O181" s="19"/>
      <c r="P181" s="20"/>
      <c r="R181" s="17"/>
      <c r="S181" s="22"/>
      <c r="T181" s="22"/>
    </row>
    <row r="182" spans="1:20" s="21" customFormat="1" ht="15.75">
      <c r="A182" s="23"/>
      <c r="B182" s="16"/>
      <c r="C182" s="16"/>
      <c r="D182" s="15"/>
      <c r="E182" s="17"/>
      <c r="F182" s="15"/>
      <c r="G182" s="18"/>
      <c r="H182" s="15"/>
      <c r="I182" s="15"/>
      <c r="J182" s="15"/>
      <c r="K182" s="15"/>
      <c r="L182" s="15"/>
      <c r="M182" s="18"/>
      <c r="N182" s="18"/>
      <c r="O182" s="19"/>
      <c r="P182" s="20"/>
      <c r="R182" s="17"/>
      <c r="S182" s="22"/>
      <c r="T182" s="22"/>
    </row>
    <row r="183" spans="1:20" s="21" customFormat="1" ht="15.75">
      <c r="A183" s="23"/>
      <c r="B183" s="16"/>
      <c r="C183" s="16"/>
      <c r="D183" s="15"/>
      <c r="E183" s="17"/>
      <c r="F183" s="15"/>
      <c r="G183" s="18"/>
      <c r="H183" s="15"/>
      <c r="I183" s="15"/>
      <c r="J183" s="15"/>
      <c r="K183" s="15"/>
      <c r="L183" s="15"/>
      <c r="M183" s="18"/>
      <c r="N183" s="18"/>
      <c r="O183" s="19"/>
      <c r="P183" s="20"/>
      <c r="R183" s="17"/>
      <c r="S183" s="22"/>
      <c r="T183" s="22"/>
    </row>
    <row r="184" spans="1:20" s="21" customFormat="1" ht="15.75">
      <c r="A184" s="23"/>
      <c r="B184" s="16"/>
      <c r="C184" s="16"/>
      <c r="D184" s="15"/>
      <c r="E184" s="17"/>
      <c r="F184" s="15"/>
      <c r="G184" s="18"/>
      <c r="H184" s="15"/>
      <c r="I184" s="15"/>
      <c r="J184" s="15"/>
      <c r="K184" s="15"/>
      <c r="L184" s="15"/>
      <c r="M184" s="18"/>
      <c r="N184" s="18"/>
      <c r="O184" s="19"/>
      <c r="P184" s="20"/>
      <c r="R184" s="17"/>
      <c r="S184" s="22"/>
      <c r="T184" s="22"/>
    </row>
    <row r="185" spans="1:20" s="21" customFormat="1" ht="15.75">
      <c r="A185" s="23"/>
      <c r="B185" s="16"/>
      <c r="C185" s="16"/>
      <c r="D185" s="15"/>
      <c r="E185" s="17"/>
      <c r="F185" s="15"/>
      <c r="G185" s="18"/>
      <c r="H185" s="15"/>
      <c r="I185" s="15"/>
      <c r="J185" s="15"/>
      <c r="K185" s="15"/>
      <c r="L185" s="15"/>
      <c r="M185" s="18"/>
      <c r="N185" s="18"/>
      <c r="O185" s="19"/>
      <c r="P185" s="20"/>
      <c r="R185" s="17"/>
      <c r="S185" s="22"/>
      <c r="T185" s="22"/>
    </row>
    <row r="186" spans="1:20" s="21" customFormat="1" ht="15.75">
      <c r="A186" s="23"/>
      <c r="B186" s="16"/>
      <c r="C186" s="16"/>
      <c r="D186" s="15"/>
      <c r="E186" s="17"/>
      <c r="F186" s="15"/>
      <c r="G186" s="18"/>
      <c r="H186" s="15"/>
      <c r="I186" s="15"/>
      <c r="J186" s="15"/>
      <c r="K186" s="15"/>
      <c r="L186" s="15"/>
      <c r="M186" s="18"/>
      <c r="N186" s="18"/>
      <c r="O186" s="19"/>
      <c r="P186" s="20"/>
      <c r="R186" s="17"/>
      <c r="S186" s="22"/>
      <c r="T186" s="22"/>
    </row>
    <row r="187" spans="1:20" s="21" customFormat="1" ht="15.75">
      <c r="A187" s="23"/>
      <c r="B187" s="16"/>
      <c r="C187" s="16"/>
      <c r="D187" s="15"/>
      <c r="E187" s="17"/>
      <c r="F187" s="15"/>
      <c r="G187" s="18"/>
      <c r="H187" s="15"/>
      <c r="I187" s="15"/>
      <c r="J187" s="15"/>
      <c r="K187" s="15"/>
      <c r="L187" s="15"/>
      <c r="M187" s="18"/>
      <c r="N187" s="18"/>
      <c r="O187" s="19"/>
      <c r="P187" s="20"/>
      <c r="R187" s="17"/>
      <c r="S187" s="22"/>
      <c r="T187" s="22"/>
    </row>
    <row r="188" spans="1:20" s="21" customFormat="1" ht="15.75">
      <c r="A188" s="23"/>
      <c r="B188" s="16"/>
      <c r="C188" s="16"/>
      <c r="D188" s="15"/>
      <c r="E188" s="17"/>
      <c r="F188" s="15"/>
      <c r="G188" s="18"/>
      <c r="H188" s="15"/>
      <c r="I188" s="15"/>
      <c r="J188" s="15"/>
      <c r="K188" s="15"/>
      <c r="L188" s="15"/>
      <c r="M188" s="18"/>
      <c r="N188" s="18"/>
      <c r="O188" s="19"/>
      <c r="P188" s="20"/>
      <c r="R188" s="17"/>
      <c r="S188" s="22"/>
      <c r="T188" s="22"/>
    </row>
    <row r="189" spans="1:20" s="21" customFormat="1" ht="15.75">
      <c r="A189" s="23"/>
      <c r="B189" s="16"/>
      <c r="C189" s="16"/>
      <c r="D189" s="15"/>
      <c r="E189" s="17"/>
      <c r="F189" s="15"/>
      <c r="G189" s="18"/>
      <c r="H189" s="15"/>
      <c r="I189" s="15"/>
      <c r="J189" s="15"/>
      <c r="K189" s="15"/>
      <c r="L189" s="15"/>
      <c r="M189" s="18"/>
      <c r="N189" s="18"/>
      <c r="O189" s="19"/>
      <c r="P189" s="20"/>
      <c r="R189" s="17"/>
      <c r="S189" s="22"/>
      <c r="T189" s="22"/>
    </row>
    <row r="190" spans="1:20" s="21" customFormat="1" ht="15.75">
      <c r="A190" s="23"/>
      <c r="B190" s="16"/>
      <c r="C190" s="16"/>
      <c r="D190" s="15"/>
      <c r="E190" s="17"/>
      <c r="F190" s="15"/>
      <c r="G190" s="18"/>
      <c r="H190" s="15"/>
      <c r="I190" s="15"/>
      <c r="J190" s="15"/>
      <c r="K190" s="15"/>
      <c r="L190" s="15"/>
      <c r="M190" s="18"/>
      <c r="N190" s="18"/>
      <c r="O190" s="19"/>
      <c r="P190" s="20"/>
      <c r="R190" s="17"/>
      <c r="S190" s="22"/>
      <c r="T190" s="22"/>
    </row>
    <row r="191" spans="1:20" s="21" customFormat="1" ht="15.75">
      <c r="A191" s="23"/>
      <c r="B191" s="16"/>
      <c r="C191" s="16"/>
      <c r="D191" s="15"/>
      <c r="E191" s="17"/>
      <c r="F191" s="15"/>
      <c r="G191" s="18"/>
      <c r="H191" s="15"/>
      <c r="I191" s="15"/>
      <c r="J191" s="15"/>
      <c r="K191" s="15"/>
      <c r="L191" s="15"/>
      <c r="M191" s="18"/>
      <c r="N191" s="18"/>
      <c r="O191" s="19"/>
      <c r="P191" s="20"/>
      <c r="R191" s="17"/>
      <c r="S191" s="22"/>
      <c r="T191" s="22"/>
    </row>
    <row r="192" spans="1:20" s="21" customFormat="1" ht="15.75">
      <c r="A192" s="23"/>
      <c r="B192" s="16"/>
      <c r="C192" s="16"/>
      <c r="D192" s="15"/>
      <c r="E192" s="17"/>
      <c r="F192" s="15"/>
      <c r="G192" s="18"/>
      <c r="H192" s="15"/>
      <c r="I192" s="15"/>
      <c r="J192" s="15"/>
      <c r="K192" s="15"/>
      <c r="L192" s="15"/>
      <c r="M192" s="18"/>
      <c r="N192" s="18"/>
      <c r="O192" s="19"/>
      <c r="P192" s="20"/>
      <c r="R192" s="17"/>
      <c r="S192" s="22"/>
      <c r="T192" s="22"/>
    </row>
    <row r="193" spans="1:20" s="21" customFormat="1" ht="15.75">
      <c r="A193" s="23"/>
      <c r="B193" s="16"/>
      <c r="C193" s="16"/>
      <c r="D193" s="15"/>
      <c r="E193" s="17"/>
      <c r="F193" s="15"/>
      <c r="G193" s="18"/>
      <c r="H193" s="15"/>
      <c r="I193" s="15"/>
      <c r="J193" s="15"/>
      <c r="K193" s="15"/>
      <c r="L193" s="15"/>
      <c r="M193" s="18"/>
      <c r="N193" s="18"/>
      <c r="O193" s="19"/>
      <c r="P193" s="20"/>
      <c r="R193" s="17"/>
      <c r="S193" s="22"/>
      <c r="T193" s="22"/>
    </row>
    <row r="194" spans="1:20" s="21" customFormat="1" ht="15.75">
      <c r="A194" s="23"/>
      <c r="B194" s="16"/>
      <c r="C194" s="16"/>
      <c r="D194" s="15"/>
      <c r="E194" s="17"/>
      <c r="F194" s="15"/>
      <c r="G194" s="18"/>
      <c r="H194" s="15"/>
      <c r="I194" s="15"/>
      <c r="J194" s="15"/>
      <c r="K194" s="15"/>
      <c r="L194" s="15"/>
      <c r="M194" s="18"/>
      <c r="N194" s="18"/>
      <c r="O194" s="19"/>
      <c r="P194" s="20"/>
      <c r="R194" s="17"/>
      <c r="S194" s="22"/>
      <c r="T194" s="22"/>
    </row>
    <row r="195" spans="1:20" s="21" customFormat="1" ht="15.75">
      <c r="A195" s="23"/>
      <c r="B195" s="16"/>
      <c r="C195" s="16"/>
      <c r="D195" s="15"/>
      <c r="E195" s="17"/>
      <c r="F195" s="15"/>
      <c r="G195" s="18"/>
      <c r="H195" s="15"/>
      <c r="I195" s="15"/>
      <c r="J195" s="15"/>
      <c r="K195" s="15"/>
      <c r="L195" s="15"/>
      <c r="M195" s="18"/>
      <c r="N195" s="18"/>
      <c r="O195" s="19"/>
      <c r="P195" s="20"/>
      <c r="R195" s="17"/>
      <c r="S195" s="22"/>
      <c r="T195" s="22"/>
    </row>
    <row r="196" spans="1:20" s="21" customFormat="1" ht="15.75">
      <c r="A196" s="23"/>
      <c r="B196" s="16"/>
      <c r="C196" s="16"/>
      <c r="D196" s="15"/>
      <c r="E196" s="17"/>
      <c r="F196" s="15"/>
      <c r="G196" s="18"/>
      <c r="H196" s="15"/>
      <c r="I196" s="15"/>
      <c r="J196" s="15"/>
      <c r="K196" s="15"/>
      <c r="L196" s="15"/>
      <c r="M196" s="18"/>
      <c r="N196" s="18"/>
      <c r="O196" s="19"/>
      <c r="P196" s="20"/>
      <c r="R196" s="17"/>
      <c r="S196" s="22"/>
      <c r="T196" s="22"/>
    </row>
    <row r="197" spans="1:20" s="21" customFormat="1" ht="15.75">
      <c r="A197" s="23"/>
      <c r="B197" s="16"/>
      <c r="C197" s="16"/>
      <c r="D197" s="15"/>
      <c r="E197" s="17"/>
      <c r="F197" s="15"/>
      <c r="G197" s="18"/>
      <c r="H197" s="15"/>
      <c r="I197" s="15"/>
      <c r="J197" s="15"/>
      <c r="K197" s="15"/>
      <c r="L197" s="15"/>
      <c r="M197" s="18"/>
      <c r="N197" s="18"/>
      <c r="O197" s="19"/>
      <c r="P197" s="20"/>
      <c r="R197" s="17"/>
      <c r="S197" s="22"/>
      <c r="T197" s="22"/>
    </row>
    <row r="198" spans="1:20" s="21" customFormat="1" ht="15.75">
      <c r="A198" s="23"/>
      <c r="B198" s="16"/>
      <c r="C198" s="16"/>
      <c r="D198" s="15"/>
      <c r="E198" s="17"/>
      <c r="F198" s="15"/>
      <c r="G198" s="18"/>
      <c r="H198" s="15"/>
      <c r="I198" s="15"/>
      <c r="J198" s="15"/>
      <c r="K198" s="15"/>
      <c r="L198" s="15"/>
      <c r="M198" s="18"/>
      <c r="N198" s="18"/>
      <c r="O198" s="19"/>
      <c r="P198" s="20"/>
      <c r="R198" s="17"/>
      <c r="S198" s="22"/>
      <c r="T198" s="22"/>
    </row>
    <row r="199" spans="1:20" s="21" customFormat="1" ht="15.75">
      <c r="A199" s="23"/>
      <c r="B199" s="16"/>
      <c r="C199" s="16"/>
      <c r="D199" s="15"/>
      <c r="E199" s="17"/>
      <c r="F199" s="15"/>
      <c r="G199" s="18"/>
      <c r="H199" s="15"/>
      <c r="I199" s="15"/>
      <c r="J199" s="15"/>
      <c r="K199" s="15"/>
      <c r="L199" s="15"/>
      <c r="M199" s="18"/>
      <c r="N199" s="18"/>
      <c r="O199" s="19"/>
      <c r="P199" s="20"/>
      <c r="R199" s="17"/>
      <c r="S199" s="22"/>
      <c r="T199" s="22"/>
    </row>
    <row r="200" spans="1:20" s="21" customFormat="1" ht="15.75">
      <c r="A200" s="23"/>
      <c r="B200" s="16"/>
      <c r="C200" s="16"/>
      <c r="D200" s="15"/>
      <c r="E200" s="17"/>
      <c r="F200" s="15"/>
      <c r="G200" s="18"/>
      <c r="H200" s="15"/>
      <c r="I200" s="15"/>
      <c r="J200" s="15"/>
      <c r="K200" s="15"/>
      <c r="L200" s="15"/>
      <c r="M200" s="18"/>
      <c r="N200" s="18"/>
      <c r="O200" s="19"/>
      <c r="P200" s="20"/>
      <c r="R200" s="17"/>
      <c r="S200" s="22"/>
      <c r="T200" s="22"/>
    </row>
    <row r="201" spans="1:20" s="21" customFormat="1" ht="15.75">
      <c r="A201" s="23"/>
      <c r="B201" s="16"/>
      <c r="C201" s="16"/>
      <c r="D201" s="15"/>
      <c r="E201" s="17"/>
      <c r="F201" s="15"/>
      <c r="G201" s="18"/>
      <c r="H201" s="15"/>
      <c r="I201" s="15"/>
      <c r="J201" s="15"/>
      <c r="K201" s="15"/>
      <c r="L201" s="15"/>
      <c r="M201" s="18"/>
      <c r="N201" s="18"/>
      <c r="O201" s="19"/>
      <c r="P201" s="20"/>
      <c r="R201" s="17"/>
      <c r="S201" s="22"/>
      <c r="T201" s="22"/>
    </row>
    <row r="202" spans="1:20" s="21" customFormat="1" ht="15.75">
      <c r="A202" s="23"/>
      <c r="B202" s="16"/>
      <c r="C202" s="16"/>
      <c r="D202" s="15"/>
      <c r="E202" s="17"/>
      <c r="F202" s="15"/>
      <c r="G202" s="18"/>
      <c r="H202" s="15"/>
      <c r="I202" s="15"/>
      <c r="J202" s="15"/>
      <c r="K202" s="15"/>
      <c r="L202" s="15"/>
      <c r="M202" s="18"/>
      <c r="N202" s="18"/>
      <c r="O202" s="19"/>
      <c r="P202" s="20"/>
      <c r="R202" s="17"/>
      <c r="S202" s="22"/>
      <c r="T202" s="22"/>
    </row>
    <row r="203" spans="1:20" s="21" customFormat="1" ht="15.75">
      <c r="A203" s="23"/>
      <c r="B203" s="16"/>
      <c r="C203" s="16"/>
      <c r="D203" s="15"/>
      <c r="E203" s="17"/>
      <c r="F203" s="15"/>
      <c r="G203" s="18"/>
      <c r="H203" s="15"/>
      <c r="I203" s="15"/>
      <c r="J203" s="15"/>
      <c r="K203" s="15"/>
      <c r="L203" s="15"/>
      <c r="M203" s="18"/>
      <c r="N203" s="18"/>
      <c r="O203" s="19"/>
      <c r="P203" s="20"/>
      <c r="R203" s="17"/>
      <c r="S203" s="22"/>
      <c r="T203" s="22"/>
    </row>
    <row r="204" spans="1:20" s="21" customFormat="1" ht="15.75">
      <c r="A204" s="23"/>
      <c r="B204" s="16"/>
      <c r="C204" s="16"/>
      <c r="D204" s="15"/>
      <c r="E204" s="17"/>
      <c r="F204" s="15"/>
      <c r="G204" s="18"/>
      <c r="H204" s="15"/>
      <c r="I204" s="15"/>
      <c r="J204" s="15"/>
      <c r="K204" s="15"/>
      <c r="L204" s="15"/>
      <c r="M204" s="18"/>
      <c r="N204" s="18"/>
      <c r="O204" s="19"/>
      <c r="P204" s="20"/>
      <c r="R204" s="17"/>
      <c r="S204" s="22"/>
      <c r="T204" s="22"/>
    </row>
    <row r="205" spans="1:20" s="21" customFormat="1" ht="15.75">
      <c r="A205" s="23"/>
      <c r="B205" s="16"/>
      <c r="C205" s="16"/>
      <c r="D205" s="15"/>
      <c r="E205" s="17"/>
      <c r="F205" s="15"/>
      <c r="G205" s="18"/>
      <c r="H205" s="15"/>
      <c r="I205" s="15"/>
      <c r="J205" s="15"/>
      <c r="K205" s="15"/>
      <c r="L205" s="15"/>
      <c r="M205" s="18"/>
      <c r="N205" s="18"/>
      <c r="O205" s="19"/>
      <c r="P205" s="20"/>
      <c r="R205" s="17"/>
      <c r="S205" s="22"/>
      <c r="T205" s="22"/>
    </row>
    <row r="206" spans="1:20" s="21" customFormat="1" ht="15.75">
      <c r="A206" s="23"/>
      <c r="B206" s="16"/>
      <c r="C206" s="16"/>
      <c r="D206" s="15"/>
      <c r="E206" s="17"/>
      <c r="F206" s="15"/>
      <c r="G206" s="18"/>
      <c r="H206" s="15"/>
      <c r="I206" s="15"/>
      <c r="J206" s="15"/>
      <c r="K206" s="15"/>
      <c r="L206" s="15"/>
      <c r="M206" s="18"/>
      <c r="N206" s="18"/>
      <c r="O206" s="19"/>
      <c r="P206" s="20"/>
      <c r="R206" s="17"/>
      <c r="S206" s="22"/>
      <c r="T206" s="22"/>
    </row>
    <row r="207" spans="1:20" s="21" customFormat="1" ht="15.75">
      <c r="A207" s="23"/>
      <c r="B207" s="16"/>
      <c r="C207" s="16"/>
      <c r="D207" s="15"/>
      <c r="E207" s="17"/>
      <c r="F207" s="15"/>
      <c r="G207" s="18"/>
      <c r="H207" s="15"/>
      <c r="I207" s="15"/>
      <c r="J207" s="15"/>
      <c r="K207" s="15"/>
      <c r="L207" s="15"/>
      <c r="M207" s="18"/>
      <c r="N207" s="18"/>
      <c r="O207" s="19"/>
      <c r="P207" s="20"/>
      <c r="R207" s="17"/>
      <c r="S207" s="22"/>
      <c r="T207" s="22"/>
    </row>
    <row r="208" spans="1:20" s="21" customFormat="1" ht="15.75">
      <c r="A208" s="23"/>
      <c r="B208" s="16"/>
      <c r="C208" s="16"/>
      <c r="D208" s="15"/>
      <c r="E208" s="17"/>
      <c r="F208" s="15"/>
      <c r="G208" s="18"/>
      <c r="H208" s="15"/>
      <c r="I208" s="15"/>
      <c r="J208" s="15"/>
      <c r="K208" s="15"/>
      <c r="L208" s="15"/>
      <c r="M208" s="18"/>
      <c r="N208" s="18"/>
      <c r="O208" s="19"/>
      <c r="P208" s="20"/>
      <c r="R208" s="17"/>
      <c r="S208" s="22"/>
      <c r="T208" s="22"/>
    </row>
    <row r="209" spans="1:20" s="21" customFormat="1" ht="15.75">
      <c r="A209" s="23"/>
      <c r="B209" s="16"/>
      <c r="C209" s="16"/>
      <c r="D209" s="15"/>
      <c r="E209" s="17"/>
      <c r="F209" s="15"/>
      <c r="G209" s="18"/>
      <c r="H209" s="15"/>
      <c r="I209" s="15"/>
      <c r="J209" s="15"/>
      <c r="K209" s="15"/>
      <c r="L209" s="15"/>
      <c r="M209" s="18"/>
      <c r="N209" s="18"/>
      <c r="O209" s="19"/>
      <c r="P209" s="20"/>
      <c r="R209" s="17"/>
      <c r="S209" s="22"/>
      <c r="T209" s="22"/>
    </row>
    <row r="210" spans="1:20" s="21" customFormat="1" ht="15.75">
      <c r="A210" s="23"/>
      <c r="B210" s="16"/>
      <c r="C210" s="16"/>
      <c r="D210" s="15"/>
      <c r="E210" s="17"/>
      <c r="F210" s="15"/>
      <c r="G210" s="18"/>
      <c r="H210" s="15"/>
      <c r="I210" s="15"/>
      <c r="J210" s="15"/>
      <c r="K210" s="15"/>
      <c r="L210" s="15"/>
      <c r="M210" s="18"/>
      <c r="N210" s="18"/>
      <c r="O210" s="19"/>
      <c r="P210" s="20"/>
      <c r="R210" s="17"/>
      <c r="S210" s="22"/>
      <c r="T210" s="22"/>
    </row>
    <row r="211" spans="1:20" s="21" customFormat="1" ht="15.75">
      <c r="A211" s="23"/>
      <c r="B211" s="16"/>
      <c r="C211" s="16"/>
      <c r="D211" s="15"/>
      <c r="E211" s="17"/>
      <c r="F211" s="15"/>
      <c r="G211" s="18"/>
      <c r="H211" s="15"/>
      <c r="I211" s="15"/>
      <c r="J211" s="15"/>
      <c r="K211" s="15"/>
      <c r="L211" s="15"/>
      <c r="M211" s="18"/>
      <c r="N211" s="18"/>
      <c r="O211" s="19"/>
      <c r="P211" s="20"/>
      <c r="R211" s="17"/>
      <c r="S211" s="22"/>
      <c r="T211" s="22"/>
    </row>
    <row r="212" spans="1:20" s="21" customFormat="1" ht="15.75">
      <c r="A212" s="23"/>
      <c r="B212" s="16"/>
      <c r="C212" s="16"/>
      <c r="D212" s="15"/>
      <c r="E212" s="17"/>
      <c r="F212" s="15"/>
      <c r="G212" s="18"/>
      <c r="H212" s="15"/>
      <c r="I212" s="15"/>
      <c r="J212" s="15"/>
      <c r="K212" s="15"/>
      <c r="L212" s="15"/>
      <c r="M212" s="18"/>
      <c r="N212" s="18"/>
      <c r="O212" s="19"/>
      <c r="P212" s="20"/>
      <c r="R212" s="17"/>
      <c r="S212" s="22"/>
      <c r="T212" s="22"/>
    </row>
    <row r="213" spans="1:20" s="21" customFormat="1" ht="15.75">
      <c r="A213" s="23"/>
      <c r="B213" s="16"/>
      <c r="C213" s="16"/>
      <c r="D213" s="15"/>
      <c r="E213" s="17"/>
      <c r="F213" s="15"/>
      <c r="G213" s="18"/>
      <c r="H213" s="15"/>
      <c r="I213" s="15"/>
      <c r="J213" s="15"/>
      <c r="K213" s="15"/>
      <c r="L213" s="15"/>
      <c r="M213" s="18"/>
      <c r="N213" s="18"/>
      <c r="O213" s="19"/>
      <c r="P213" s="20"/>
      <c r="R213" s="17"/>
      <c r="S213" s="22"/>
      <c r="T213" s="22"/>
    </row>
    <row r="214" spans="1:20" s="21" customFormat="1" ht="15.75">
      <c r="A214" s="23"/>
      <c r="B214" s="16"/>
      <c r="C214" s="16"/>
      <c r="D214" s="15"/>
      <c r="E214" s="17"/>
      <c r="F214" s="15"/>
      <c r="G214" s="18"/>
      <c r="H214" s="15"/>
      <c r="I214" s="15"/>
      <c r="J214" s="15"/>
      <c r="K214" s="15"/>
      <c r="L214" s="15"/>
      <c r="M214" s="18"/>
      <c r="N214" s="18"/>
      <c r="O214" s="19"/>
      <c r="P214" s="20"/>
      <c r="R214" s="17"/>
      <c r="S214" s="22"/>
      <c r="T214" s="22"/>
    </row>
    <row r="215" spans="1:20" s="21" customFormat="1" ht="15.75">
      <c r="A215" s="23"/>
      <c r="B215" s="16"/>
      <c r="C215" s="16"/>
      <c r="D215" s="15"/>
      <c r="E215" s="17"/>
      <c r="F215" s="15"/>
      <c r="G215" s="18"/>
      <c r="H215" s="15"/>
      <c r="I215" s="15"/>
      <c r="J215" s="15"/>
      <c r="K215" s="15"/>
      <c r="L215" s="15"/>
      <c r="M215" s="18"/>
      <c r="N215" s="18"/>
      <c r="O215" s="19"/>
      <c r="P215" s="20"/>
      <c r="R215" s="17"/>
      <c r="S215" s="22"/>
      <c r="T215" s="22"/>
    </row>
    <row r="216" spans="1:20" s="21" customFormat="1" ht="15.75">
      <c r="A216" s="23"/>
      <c r="B216" s="16"/>
      <c r="C216" s="16"/>
      <c r="D216" s="15"/>
      <c r="E216" s="17"/>
      <c r="F216" s="15"/>
      <c r="G216" s="18"/>
      <c r="H216" s="15"/>
      <c r="I216" s="15"/>
      <c r="J216" s="15"/>
      <c r="K216" s="15"/>
      <c r="L216" s="15"/>
      <c r="M216" s="18"/>
      <c r="N216" s="18"/>
      <c r="O216" s="19"/>
      <c r="P216" s="20"/>
      <c r="R216" s="17"/>
      <c r="S216" s="22"/>
      <c r="T216" s="22"/>
    </row>
    <row r="217" spans="1:20" s="21" customFormat="1" ht="15.75">
      <c r="A217" s="23"/>
      <c r="B217" s="16"/>
      <c r="C217" s="16"/>
      <c r="D217" s="15"/>
      <c r="E217" s="17"/>
      <c r="F217" s="15"/>
      <c r="G217" s="18"/>
      <c r="H217" s="15"/>
      <c r="I217" s="15"/>
      <c r="J217" s="15"/>
      <c r="K217" s="15"/>
      <c r="L217" s="15"/>
      <c r="M217" s="18"/>
      <c r="N217" s="18"/>
      <c r="O217" s="19"/>
      <c r="P217" s="20"/>
      <c r="R217" s="17"/>
      <c r="S217" s="22"/>
      <c r="T217" s="22"/>
    </row>
    <row r="218" spans="1:20" s="21" customFormat="1" ht="15.75">
      <c r="A218" s="23"/>
      <c r="B218" s="16"/>
      <c r="C218" s="16"/>
      <c r="D218" s="15"/>
      <c r="E218" s="17"/>
      <c r="F218" s="15"/>
      <c r="G218" s="18"/>
      <c r="H218" s="15"/>
      <c r="I218" s="15"/>
      <c r="J218" s="15"/>
      <c r="K218" s="15"/>
      <c r="L218" s="15"/>
      <c r="M218" s="18"/>
      <c r="N218" s="18"/>
      <c r="O218" s="19"/>
      <c r="P218" s="20"/>
      <c r="R218" s="17"/>
      <c r="S218" s="22"/>
      <c r="T218" s="22"/>
    </row>
    <row r="219" spans="1:20" s="21" customFormat="1" ht="15.75">
      <c r="A219" s="23"/>
      <c r="B219" s="16"/>
      <c r="C219" s="16"/>
      <c r="D219" s="15"/>
      <c r="E219" s="17"/>
      <c r="F219" s="15"/>
      <c r="G219" s="18"/>
      <c r="H219" s="15"/>
      <c r="I219" s="15"/>
      <c r="J219" s="15"/>
      <c r="K219" s="15"/>
      <c r="L219" s="15"/>
      <c r="M219" s="18"/>
      <c r="N219" s="18"/>
      <c r="O219" s="19"/>
      <c r="P219" s="20"/>
      <c r="R219" s="17"/>
      <c r="S219" s="22"/>
      <c r="T219" s="22"/>
    </row>
    <row r="220" spans="1:20" s="21" customFormat="1" ht="15.75">
      <c r="A220" s="23"/>
      <c r="B220" s="16"/>
      <c r="C220" s="16"/>
      <c r="D220" s="15"/>
      <c r="E220" s="17"/>
      <c r="F220" s="15"/>
      <c r="G220" s="18"/>
      <c r="H220" s="15"/>
      <c r="I220" s="15"/>
      <c r="J220" s="15"/>
      <c r="K220" s="15"/>
      <c r="L220" s="15"/>
      <c r="M220" s="18"/>
      <c r="N220" s="18"/>
      <c r="O220" s="19"/>
      <c r="P220" s="20"/>
      <c r="R220" s="17"/>
      <c r="S220" s="22"/>
      <c r="T220" s="22"/>
    </row>
    <row r="221" spans="1:20" s="21" customFormat="1" ht="15.75">
      <c r="A221" s="23"/>
      <c r="B221" s="16"/>
      <c r="C221" s="16"/>
      <c r="D221" s="15"/>
      <c r="E221" s="17"/>
      <c r="F221" s="15"/>
      <c r="G221" s="18"/>
      <c r="H221" s="15"/>
      <c r="I221" s="15"/>
      <c r="J221" s="15"/>
      <c r="K221" s="15"/>
      <c r="L221" s="15"/>
      <c r="M221" s="18"/>
      <c r="N221" s="18"/>
      <c r="O221" s="19"/>
      <c r="P221" s="20"/>
      <c r="R221" s="17"/>
      <c r="S221" s="22"/>
      <c r="T221" s="22"/>
    </row>
    <row r="222" spans="1:20" s="21" customFormat="1" ht="15.75">
      <c r="A222" s="23"/>
      <c r="B222" s="16"/>
      <c r="C222" s="16"/>
      <c r="D222" s="15"/>
      <c r="E222" s="17"/>
      <c r="F222" s="15"/>
      <c r="G222" s="18"/>
      <c r="H222" s="15"/>
      <c r="I222" s="15"/>
      <c r="J222" s="15"/>
      <c r="K222" s="15"/>
      <c r="L222" s="15"/>
      <c r="M222" s="18"/>
      <c r="N222" s="18"/>
      <c r="O222" s="19"/>
      <c r="P222" s="20"/>
      <c r="R222" s="17"/>
      <c r="S222" s="22"/>
      <c r="T222" s="22"/>
    </row>
    <row r="223" spans="1:20" s="21" customFormat="1" ht="15.75">
      <c r="A223" s="23"/>
      <c r="B223" s="16"/>
      <c r="C223" s="16"/>
      <c r="D223" s="15"/>
      <c r="E223" s="17"/>
      <c r="F223" s="15"/>
      <c r="G223" s="18"/>
      <c r="H223" s="15"/>
      <c r="I223" s="15"/>
      <c r="J223" s="15"/>
      <c r="K223" s="15"/>
      <c r="L223" s="15"/>
      <c r="M223" s="18"/>
      <c r="N223" s="18"/>
      <c r="O223" s="19"/>
      <c r="P223" s="20"/>
      <c r="R223" s="17"/>
      <c r="S223" s="22"/>
      <c r="T223" s="22"/>
    </row>
    <row r="224" spans="1:20" s="21" customFormat="1" ht="15.75">
      <c r="A224" s="23"/>
      <c r="B224" s="16"/>
      <c r="C224" s="16"/>
      <c r="D224" s="15"/>
      <c r="E224" s="17"/>
      <c r="F224" s="15"/>
      <c r="G224" s="18"/>
      <c r="H224" s="15"/>
      <c r="I224" s="15"/>
      <c r="J224" s="15"/>
      <c r="K224" s="15"/>
      <c r="L224" s="15"/>
      <c r="M224" s="18"/>
      <c r="N224" s="18"/>
      <c r="O224" s="19"/>
      <c r="P224" s="20"/>
      <c r="R224" s="17"/>
      <c r="S224" s="22"/>
      <c r="T224" s="22"/>
    </row>
    <row r="225" spans="1:20" s="21" customFormat="1" ht="15.75">
      <c r="A225" s="23"/>
      <c r="B225" s="16"/>
      <c r="C225" s="16"/>
      <c r="D225" s="15"/>
      <c r="E225" s="17"/>
      <c r="F225" s="15"/>
      <c r="G225" s="18"/>
      <c r="H225" s="15"/>
      <c r="I225" s="15"/>
      <c r="J225" s="15"/>
      <c r="K225" s="15"/>
      <c r="L225" s="15"/>
      <c r="M225" s="18"/>
      <c r="N225" s="18"/>
      <c r="O225" s="19"/>
      <c r="P225" s="20"/>
      <c r="R225" s="17"/>
      <c r="S225" s="22"/>
      <c r="T225" s="22"/>
    </row>
    <row r="226" spans="1:20" s="21" customFormat="1" ht="15.75">
      <c r="A226" s="23"/>
      <c r="B226" s="16"/>
      <c r="C226" s="16"/>
      <c r="D226" s="15"/>
      <c r="E226" s="17"/>
      <c r="F226" s="15"/>
      <c r="G226" s="18"/>
      <c r="H226" s="15"/>
      <c r="I226" s="15"/>
      <c r="J226" s="15"/>
      <c r="K226" s="15"/>
      <c r="L226" s="15"/>
      <c r="M226" s="18"/>
      <c r="N226" s="18"/>
      <c r="O226" s="19"/>
      <c r="P226" s="20"/>
      <c r="R226" s="17"/>
      <c r="S226" s="22"/>
      <c r="T226" s="22"/>
    </row>
    <row r="227" spans="1:20" s="21" customFormat="1" ht="15.75">
      <c r="A227" s="23"/>
      <c r="B227" s="16"/>
      <c r="C227" s="16"/>
      <c r="D227" s="15"/>
      <c r="E227" s="17"/>
      <c r="F227" s="15"/>
      <c r="G227" s="18"/>
      <c r="H227" s="15"/>
      <c r="I227" s="15"/>
      <c r="J227" s="15"/>
      <c r="K227" s="15"/>
      <c r="L227" s="15"/>
      <c r="M227" s="18"/>
      <c r="N227" s="18"/>
      <c r="O227" s="19"/>
      <c r="P227" s="20"/>
      <c r="R227" s="17"/>
      <c r="S227" s="22"/>
      <c r="T227" s="22"/>
    </row>
    <row r="228" spans="1:20" s="21" customFormat="1" ht="15.75">
      <c r="A228" s="23"/>
      <c r="B228" s="16"/>
      <c r="C228" s="16"/>
      <c r="D228" s="15"/>
      <c r="E228" s="17"/>
      <c r="F228" s="15"/>
      <c r="G228" s="18"/>
      <c r="H228" s="15"/>
      <c r="I228" s="15"/>
      <c r="J228" s="15"/>
      <c r="K228" s="15"/>
      <c r="L228" s="15"/>
      <c r="M228" s="18"/>
      <c r="N228" s="18"/>
      <c r="O228" s="19"/>
      <c r="P228" s="20"/>
      <c r="R228" s="17"/>
      <c r="S228" s="22"/>
      <c r="T228" s="22"/>
    </row>
    <row r="229" spans="1:20" s="21" customFormat="1" ht="15.75">
      <c r="A229" s="23"/>
      <c r="B229" s="16"/>
      <c r="C229" s="16"/>
      <c r="D229" s="15"/>
      <c r="E229" s="17"/>
      <c r="F229" s="15"/>
      <c r="G229" s="18"/>
      <c r="H229" s="15"/>
      <c r="I229" s="15"/>
      <c r="J229" s="15"/>
      <c r="K229" s="15"/>
      <c r="L229" s="15"/>
      <c r="M229" s="18"/>
      <c r="N229" s="18"/>
      <c r="O229" s="19"/>
      <c r="P229" s="20"/>
      <c r="R229" s="17"/>
      <c r="S229" s="22"/>
      <c r="T229" s="22"/>
    </row>
    <row r="230" spans="1:20" s="21" customFormat="1" ht="15.75">
      <c r="A230" s="23"/>
      <c r="B230" s="16"/>
      <c r="C230" s="16"/>
      <c r="D230" s="15"/>
      <c r="E230" s="17"/>
      <c r="F230" s="15"/>
      <c r="G230" s="18"/>
      <c r="H230" s="15"/>
      <c r="I230" s="15"/>
      <c r="J230" s="15"/>
      <c r="K230" s="15"/>
      <c r="L230" s="15"/>
      <c r="M230" s="18"/>
      <c r="N230" s="18"/>
      <c r="O230" s="19"/>
      <c r="P230" s="20"/>
      <c r="R230" s="17"/>
      <c r="S230" s="22"/>
      <c r="T230" s="22"/>
    </row>
    <row r="231" spans="1:20" s="21" customFormat="1" ht="15.75">
      <c r="A231" s="23"/>
      <c r="B231" s="16"/>
      <c r="C231" s="16"/>
      <c r="D231" s="15"/>
      <c r="E231" s="17"/>
      <c r="F231" s="15"/>
      <c r="G231" s="18"/>
      <c r="H231" s="15"/>
      <c r="I231" s="15"/>
      <c r="J231" s="15"/>
      <c r="K231" s="15"/>
      <c r="L231" s="15"/>
      <c r="M231" s="18"/>
      <c r="N231" s="18"/>
      <c r="O231" s="19"/>
      <c r="P231" s="20"/>
      <c r="R231" s="17"/>
      <c r="S231" s="22"/>
      <c r="T231" s="22"/>
    </row>
    <row r="232" spans="1:20" s="21" customFormat="1" ht="15.75">
      <c r="A232" s="23"/>
      <c r="B232" s="16"/>
      <c r="C232" s="16"/>
      <c r="D232" s="15"/>
      <c r="E232" s="17"/>
      <c r="F232" s="15"/>
      <c r="G232" s="18"/>
      <c r="H232" s="15"/>
      <c r="I232" s="15"/>
      <c r="J232" s="15"/>
      <c r="K232" s="15"/>
      <c r="L232" s="15"/>
      <c r="M232" s="18"/>
      <c r="N232" s="18"/>
      <c r="O232" s="19"/>
      <c r="P232" s="20"/>
      <c r="R232" s="17"/>
      <c r="S232" s="22"/>
      <c r="T232" s="22"/>
    </row>
    <row r="233" spans="1:20" s="21" customFormat="1" ht="15.75">
      <c r="A233" s="23"/>
      <c r="B233" s="16"/>
      <c r="C233" s="16"/>
      <c r="D233" s="15"/>
      <c r="E233" s="17"/>
      <c r="F233" s="15"/>
      <c r="G233" s="18"/>
      <c r="H233" s="15"/>
      <c r="I233" s="15"/>
      <c r="J233" s="15"/>
      <c r="K233" s="15"/>
      <c r="L233" s="15"/>
      <c r="M233" s="18"/>
      <c r="N233" s="18"/>
      <c r="O233" s="19"/>
      <c r="P233" s="20"/>
      <c r="R233" s="17"/>
      <c r="S233" s="22"/>
      <c r="T233" s="22"/>
    </row>
    <row r="234" spans="1:20" s="21" customFormat="1" ht="15.75">
      <c r="A234" s="23"/>
      <c r="B234" s="16"/>
      <c r="C234" s="16"/>
      <c r="D234" s="15"/>
      <c r="E234" s="17"/>
      <c r="F234" s="15"/>
      <c r="G234" s="18"/>
      <c r="H234" s="15"/>
      <c r="I234" s="15"/>
      <c r="J234" s="15"/>
      <c r="K234" s="15"/>
      <c r="L234" s="15"/>
      <c r="M234" s="18"/>
      <c r="N234" s="18"/>
      <c r="O234" s="19"/>
      <c r="P234" s="20"/>
      <c r="R234" s="17"/>
      <c r="S234" s="22"/>
      <c r="T234" s="22"/>
    </row>
    <row r="235" spans="1:20" s="21" customFormat="1" ht="15.75">
      <c r="A235" s="23"/>
      <c r="B235" s="16"/>
      <c r="C235" s="16"/>
      <c r="D235" s="15"/>
      <c r="E235" s="17"/>
      <c r="F235" s="15"/>
      <c r="G235" s="18"/>
      <c r="H235" s="15"/>
      <c r="I235" s="15"/>
      <c r="J235" s="15"/>
      <c r="K235" s="15"/>
      <c r="L235" s="15"/>
      <c r="M235" s="18"/>
      <c r="N235" s="18"/>
      <c r="O235" s="19"/>
      <c r="P235" s="20"/>
      <c r="R235" s="17"/>
      <c r="S235" s="22"/>
      <c r="T235" s="22"/>
    </row>
    <row r="236" spans="1:20" s="21" customFormat="1" ht="15.75">
      <c r="A236" s="23"/>
      <c r="B236" s="16"/>
      <c r="C236" s="16"/>
      <c r="D236" s="15"/>
      <c r="E236" s="17"/>
      <c r="F236" s="15"/>
      <c r="G236" s="18"/>
      <c r="H236" s="15"/>
      <c r="I236" s="15"/>
      <c r="J236" s="15"/>
      <c r="K236" s="15"/>
      <c r="L236" s="15"/>
      <c r="M236" s="18"/>
      <c r="N236" s="18"/>
      <c r="O236" s="19"/>
      <c r="P236" s="20"/>
      <c r="R236" s="17"/>
      <c r="S236" s="22"/>
      <c r="T236" s="22"/>
    </row>
    <row r="237" spans="1:20" s="21" customFormat="1" ht="15.75">
      <c r="A237" s="23"/>
      <c r="B237" s="16"/>
      <c r="C237" s="16"/>
      <c r="D237" s="15"/>
      <c r="E237" s="17"/>
      <c r="F237" s="15"/>
      <c r="G237" s="18"/>
      <c r="H237" s="15"/>
      <c r="I237" s="15"/>
      <c r="J237" s="15"/>
      <c r="K237" s="15"/>
      <c r="L237" s="15"/>
      <c r="M237" s="18"/>
      <c r="N237" s="18"/>
      <c r="O237" s="19"/>
      <c r="P237" s="20"/>
      <c r="R237" s="17"/>
      <c r="S237" s="22"/>
      <c r="T237" s="22"/>
    </row>
    <row r="238" spans="1:20" s="21" customFormat="1" ht="15.75">
      <c r="A238" s="23"/>
      <c r="B238" s="16"/>
      <c r="C238" s="16"/>
      <c r="D238" s="15"/>
      <c r="E238" s="17"/>
      <c r="F238" s="15"/>
      <c r="G238" s="18"/>
      <c r="H238" s="15"/>
      <c r="I238" s="15"/>
      <c r="J238" s="15"/>
      <c r="K238" s="15"/>
      <c r="L238" s="15"/>
      <c r="M238" s="18"/>
      <c r="N238" s="18"/>
      <c r="O238" s="19"/>
      <c r="P238" s="20"/>
      <c r="R238" s="17"/>
      <c r="S238" s="22"/>
      <c r="T238" s="22"/>
    </row>
    <row r="239" spans="1:20" s="21" customFormat="1" ht="15.75">
      <c r="A239" s="23"/>
      <c r="B239" s="16"/>
      <c r="C239" s="16"/>
      <c r="D239" s="15"/>
      <c r="E239" s="17"/>
      <c r="F239" s="15"/>
      <c r="G239" s="18"/>
      <c r="H239" s="15"/>
      <c r="I239" s="15"/>
      <c r="J239" s="15"/>
      <c r="K239" s="15"/>
      <c r="L239" s="15"/>
      <c r="M239" s="18"/>
      <c r="N239" s="18"/>
      <c r="O239" s="19"/>
      <c r="P239" s="20"/>
      <c r="R239" s="17"/>
      <c r="S239" s="22"/>
      <c r="T239" s="22"/>
    </row>
    <row r="240" spans="1:20" s="21" customFormat="1" ht="15.75">
      <c r="A240" s="23"/>
      <c r="B240" s="16"/>
      <c r="C240" s="16"/>
      <c r="D240" s="15"/>
      <c r="E240" s="17"/>
      <c r="F240" s="15"/>
      <c r="G240" s="18"/>
      <c r="H240" s="15"/>
      <c r="I240" s="15"/>
      <c r="J240" s="15"/>
      <c r="K240" s="15"/>
      <c r="L240" s="15"/>
      <c r="M240" s="18"/>
      <c r="N240" s="18"/>
      <c r="O240" s="19"/>
      <c r="P240" s="20"/>
      <c r="R240" s="17"/>
      <c r="S240" s="22"/>
      <c r="T240" s="22"/>
    </row>
    <row r="241" spans="1:20" s="21" customFormat="1" ht="15.75">
      <c r="A241" s="23"/>
      <c r="B241" s="16"/>
      <c r="C241" s="16"/>
      <c r="D241" s="15"/>
      <c r="E241" s="17"/>
      <c r="F241" s="15"/>
      <c r="G241" s="18"/>
      <c r="H241" s="15"/>
      <c r="I241" s="15"/>
      <c r="J241" s="15"/>
      <c r="K241" s="15"/>
      <c r="L241" s="15"/>
      <c r="M241" s="18"/>
      <c r="N241" s="18"/>
      <c r="O241" s="19"/>
      <c r="P241" s="20"/>
      <c r="R241" s="17"/>
      <c r="S241" s="22"/>
      <c r="T241" s="22"/>
    </row>
    <row r="242" spans="1:20" s="21" customFormat="1" ht="15.75">
      <c r="A242" s="23"/>
      <c r="B242" s="16"/>
      <c r="C242" s="16"/>
      <c r="D242" s="15"/>
      <c r="E242" s="17"/>
      <c r="F242" s="15"/>
      <c r="G242" s="18"/>
      <c r="H242" s="15"/>
      <c r="I242" s="15"/>
      <c r="J242" s="15"/>
      <c r="K242" s="15"/>
      <c r="L242" s="15"/>
      <c r="M242" s="18"/>
      <c r="N242" s="18"/>
      <c r="O242" s="19"/>
      <c r="P242" s="20"/>
      <c r="R242" s="17"/>
      <c r="S242" s="22"/>
      <c r="T242" s="22"/>
    </row>
    <row r="243" spans="1:20" s="21" customFormat="1" ht="15.75">
      <c r="A243" s="23"/>
      <c r="B243" s="16"/>
      <c r="C243" s="16"/>
      <c r="D243" s="15"/>
      <c r="E243" s="17"/>
      <c r="F243" s="15"/>
      <c r="G243" s="18"/>
      <c r="H243" s="15"/>
      <c r="I243" s="15"/>
      <c r="J243" s="15"/>
      <c r="K243" s="15"/>
      <c r="L243" s="15"/>
      <c r="M243" s="18"/>
      <c r="N243" s="18"/>
      <c r="O243" s="19"/>
      <c r="P243" s="20"/>
      <c r="R243" s="17"/>
      <c r="S243" s="22"/>
      <c r="T243" s="22"/>
    </row>
    <row r="244" spans="1:20" s="21" customFormat="1" ht="15.75">
      <c r="A244" s="23"/>
      <c r="B244" s="16"/>
      <c r="C244" s="16"/>
      <c r="D244" s="15"/>
      <c r="E244" s="17"/>
      <c r="F244" s="15"/>
      <c r="G244" s="18"/>
      <c r="H244" s="15"/>
      <c r="I244" s="15"/>
      <c r="J244" s="15"/>
      <c r="K244" s="15"/>
      <c r="L244" s="15"/>
      <c r="M244" s="18"/>
      <c r="N244" s="18"/>
      <c r="O244" s="19"/>
      <c r="P244" s="20"/>
      <c r="R244" s="17"/>
      <c r="S244" s="22"/>
      <c r="T244" s="22"/>
    </row>
    <row r="245" spans="1:20" s="21" customFormat="1" ht="15.75">
      <c r="A245" s="23"/>
      <c r="B245" s="16"/>
      <c r="C245" s="16"/>
      <c r="D245" s="15"/>
      <c r="E245" s="17"/>
      <c r="F245" s="15"/>
      <c r="G245" s="18"/>
      <c r="H245" s="15"/>
      <c r="I245" s="15"/>
      <c r="J245" s="15"/>
      <c r="K245" s="15"/>
      <c r="L245" s="15"/>
      <c r="M245" s="18"/>
      <c r="N245" s="18"/>
      <c r="O245" s="19"/>
      <c r="P245" s="20"/>
      <c r="R245" s="17"/>
      <c r="S245" s="22"/>
      <c r="T245" s="22"/>
    </row>
    <row r="246" spans="1:20" s="21" customFormat="1" ht="15.75">
      <c r="A246" s="23"/>
      <c r="B246" s="16"/>
      <c r="C246" s="16"/>
      <c r="D246" s="15"/>
      <c r="E246" s="17"/>
      <c r="F246" s="15"/>
      <c r="G246" s="18"/>
      <c r="H246" s="15"/>
      <c r="I246" s="15"/>
      <c r="J246" s="15"/>
      <c r="K246" s="15"/>
      <c r="L246" s="15"/>
      <c r="M246" s="18"/>
      <c r="N246" s="18"/>
      <c r="O246" s="19"/>
      <c r="P246" s="20"/>
      <c r="R246" s="17"/>
      <c r="S246" s="22"/>
      <c r="T246" s="22"/>
    </row>
    <row r="247" spans="1:20" s="21" customFormat="1" ht="15.75">
      <c r="A247" s="23"/>
      <c r="B247" s="16"/>
      <c r="C247" s="16"/>
      <c r="D247" s="15"/>
      <c r="E247" s="17"/>
      <c r="F247" s="15"/>
      <c r="G247" s="18"/>
      <c r="H247" s="15"/>
      <c r="I247" s="15"/>
      <c r="J247" s="15"/>
      <c r="K247" s="15"/>
      <c r="L247" s="15"/>
      <c r="M247" s="18"/>
      <c r="N247" s="18"/>
      <c r="O247" s="19"/>
      <c r="P247" s="20"/>
      <c r="R247" s="17"/>
      <c r="S247" s="22"/>
      <c r="T247" s="22"/>
    </row>
    <row r="248" spans="1:20" s="21" customFormat="1" ht="15.75">
      <c r="A248" s="23"/>
      <c r="B248" s="16"/>
      <c r="C248" s="16"/>
      <c r="D248" s="15"/>
      <c r="E248" s="17"/>
      <c r="F248" s="15"/>
      <c r="G248" s="18"/>
      <c r="H248" s="15"/>
      <c r="I248" s="15"/>
      <c r="J248" s="15"/>
      <c r="K248" s="15"/>
      <c r="L248" s="15"/>
      <c r="M248" s="18"/>
      <c r="N248" s="18"/>
      <c r="O248" s="19"/>
      <c r="P248" s="20"/>
      <c r="R248" s="17"/>
      <c r="S248" s="22"/>
      <c r="T248" s="22"/>
    </row>
    <row r="249" spans="1:20" s="21" customFormat="1" ht="15.75">
      <c r="A249" s="23"/>
      <c r="B249" s="16"/>
      <c r="C249" s="16"/>
      <c r="D249" s="15"/>
      <c r="E249" s="17"/>
      <c r="F249" s="15"/>
      <c r="G249" s="18"/>
      <c r="H249" s="15"/>
      <c r="I249" s="15"/>
      <c r="J249" s="15"/>
      <c r="K249" s="15"/>
      <c r="L249" s="15"/>
      <c r="M249" s="18"/>
      <c r="N249" s="18"/>
      <c r="O249" s="19"/>
      <c r="P249" s="20"/>
      <c r="R249" s="17"/>
      <c r="S249" s="22"/>
      <c r="T249" s="22"/>
    </row>
    <row r="250" spans="1:20" s="21" customFormat="1" ht="15.75">
      <c r="A250" s="23"/>
      <c r="B250" s="16"/>
      <c r="C250" s="16"/>
      <c r="D250" s="15"/>
      <c r="E250" s="17"/>
      <c r="F250" s="15"/>
      <c r="G250" s="18"/>
      <c r="H250" s="15"/>
      <c r="I250" s="15"/>
      <c r="J250" s="15"/>
      <c r="K250" s="15"/>
      <c r="L250" s="15"/>
      <c r="M250" s="18"/>
      <c r="N250" s="18"/>
      <c r="O250" s="19"/>
      <c r="P250" s="20"/>
      <c r="R250" s="17"/>
      <c r="S250" s="22"/>
      <c r="T250" s="22"/>
    </row>
    <row r="251" spans="1:20" s="21" customFormat="1" ht="15.75">
      <c r="A251" s="23"/>
      <c r="B251" s="16"/>
      <c r="C251" s="16"/>
      <c r="D251" s="15"/>
      <c r="E251" s="17"/>
      <c r="F251" s="15"/>
      <c r="G251" s="18"/>
      <c r="H251" s="15"/>
      <c r="I251" s="15"/>
      <c r="J251" s="15"/>
      <c r="K251" s="15"/>
      <c r="L251" s="15"/>
      <c r="M251" s="18"/>
      <c r="N251" s="18"/>
      <c r="O251" s="19"/>
      <c r="P251" s="20"/>
      <c r="R251" s="17"/>
      <c r="S251" s="22"/>
      <c r="T251" s="22"/>
    </row>
    <row r="252" spans="1:20" s="21" customFormat="1" ht="15.75">
      <c r="A252" s="23"/>
      <c r="B252" s="16"/>
      <c r="C252" s="16"/>
      <c r="D252" s="15"/>
      <c r="E252" s="17"/>
      <c r="F252" s="15"/>
      <c r="G252" s="18"/>
      <c r="H252" s="15"/>
      <c r="I252" s="15"/>
      <c r="J252" s="15"/>
      <c r="K252" s="15"/>
      <c r="L252" s="15"/>
      <c r="M252" s="18"/>
      <c r="N252" s="18"/>
      <c r="O252" s="19"/>
      <c r="P252" s="20"/>
      <c r="R252" s="17"/>
      <c r="S252" s="22"/>
      <c r="T252" s="22"/>
    </row>
    <row r="253" spans="1:20" s="21" customFormat="1" ht="15.75">
      <c r="A253" s="23"/>
      <c r="B253" s="16"/>
      <c r="C253" s="16"/>
      <c r="D253" s="15"/>
      <c r="E253" s="17"/>
      <c r="F253" s="15"/>
      <c r="G253" s="18"/>
      <c r="H253" s="15"/>
      <c r="I253" s="15"/>
      <c r="J253" s="15"/>
      <c r="K253" s="15"/>
      <c r="L253" s="15"/>
      <c r="M253" s="18"/>
      <c r="N253" s="18"/>
      <c r="O253" s="19"/>
      <c r="P253" s="20"/>
      <c r="R253" s="17"/>
      <c r="S253" s="22"/>
      <c r="T253" s="22"/>
    </row>
    <row r="254" spans="1:20" s="21" customFormat="1" ht="15.75">
      <c r="A254" s="23"/>
      <c r="B254" s="16"/>
      <c r="C254" s="16"/>
      <c r="D254" s="15"/>
      <c r="E254" s="17"/>
      <c r="F254" s="15"/>
      <c r="G254" s="18"/>
      <c r="H254" s="15"/>
      <c r="I254" s="15"/>
      <c r="J254" s="15"/>
      <c r="K254" s="15"/>
      <c r="L254" s="15"/>
      <c r="M254" s="18"/>
      <c r="N254" s="18"/>
      <c r="O254" s="19"/>
      <c r="P254" s="20"/>
      <c r="R254" s="17"/>
      <c r="S254" s="22"/>
      <c r="T254" s="22"/>
    </row>
    <row r="255" spans="1:20" s="21" customFormat="1" ht="15.75">
      <c r="A255" s="23"/>
      <c r="B255" s="16"/>
      <c r="C255" s="16"/>
      <c r="D255" s="15"/>
      <c r="E255" s="17"/>
      <c r="F255" s="15"/>
      <c r="G255" s="18"/>
      <c r="H255" s="15"/>
      <c r="I255" s="15"/>
      <c r="J255" s="15"/>
      <c r="K255" s="15"/>
      <c r="L255" s="15"/>
      <c r="M255" s="18"/>
      <c r="N255" s="18"/>
      <c r="O255" s="19"/>
      <c r="P255" s="20"/>
      <c r="R255" s="17"/>
      <c r="S255" s="22"/>
      <c r="T255" s="22"/>
    </row>
    <row r="256" spans="1:20" s="21" customFormat="1" ht="15.75">
      <c r="A256" s="23"/>
      <c r="B256" s="16"/>
      <c r="C256" s="16"/>
      <c r="D256" s="15"/>
      <c r="E256" s="17"/>
      <c r="F256" s="15"/>
      <c r="G256" s="18"/>
      <c r="H256" s="15"/>
      <c r="I256" s="15"/>
      <c r="J256" s="15"/>
      <c r="K256" s="15"/>
      <c r="L256" s="15"/>
      <c r="M256" s="18"/>
      <c r="N256" s="18"/>
      <c r="O256" s="19"/>
      <c r="P256" s="20"/>
      <c r="R256" s="17"/>
      <c r="S256" s="22"/>
      <c r="T256" s="22"/>
    </row>
    <row r="257" spans="1:20" s="21" customFormat="1" ht="15.75">
      <c r="A257" s="23"/>
      <c r="B257" s="16"/>
      <c r="C257" s="16"/>
      <c r="D257" s="15"/>
      <c r="E257" s="17"/>
      <c r="F257" s="15"/>
      <c r="G257" s="18"/>
      <c r="H257" s="15"/>
      <c r="I257" s="15"/>
      <c r="J257" s="15"/>
      <c r="K257" s="15"/>
      <c r="L257" s="15"/>
      <c r="M257" s="18"/>
      <c r="N257" s="18"/>
      <c r="O257" s="19"/>
      <c r="P257" s="20"/>
      <c r="R257" s="17"/>
      <c r="S257" s="22"/>
      <c r="T257" s="22"/>
    </row>
    <row r="258" spans="1:20" s="21" customFormat="1" ht="15.75">
      <c r="A258" s="23"/>
      <c r="B258" s="16"/>
      <c r="C258" s="16"/>
      <c r="D258" s="15"/>
      <c r="E258" s="17"/>
      <c r="F258" s="15"/>
      <c r="G258" s="18"/>
      <c r="H258" s="15"/>
      <c r="I258" s="15"/>
      <c r="J258" s="15"/>
      <c r="K258" s="15"/>
      <c r="L258" s="15"/>
      <c r="M258" s="18"/>
      <c r="N258" s="18"/>
      <c r="O258" s="19"/>
      <c r="P258" s="20"/>
      <c r="R258" s="17"/>
      <c r="S258" s="22"/>
      <c r="T258" s="22"/>
    </row>
    <row r="259" spans="1:20" s="21" customFormat="1" ht="15.75">
      <c r="A259" s="23"/>
      <c r="B259" s="16"/>
      <c r="C259" s="16"/>
      <c r="D259" s="15"/>
      <c r="E259" s="17"/>
      <c r="F259" s="15"/>
      <c r="G259" s="18"/>
      <c r="H259" s="15"/>
      <c r="I259" s="15"/>
      <c r="J259" s="15"/>
      <c r="K259" s="15"/>
      <c r="L259" s="15"/>
      <c r="M259" s="18"/>
      <c r="N259" s="18"/>
      <c r="O259" s="19"/>
      <c r="P259" s="20"/>
      <c r="R259" s="17"/>
      <c r="S259" s="22"/>
      <c r="T259" s="22"/>
    </row>
    <row r="260" spans="1:20" s="21" customFormat="1" ht="15.75">
      <c r="A260" s="23"/>
      <c r="B260" s="16"/>
      <c r="C260" s="16"/>
      <c r="D260" s="15"/>
      <c r="E260" s="17"/>
      <c r="F260" s="15"/>
      <c r="G260" s="18"/>
      <c r="H260" s="15"/>
      <c r="I260" s="15"/>
      <c r="J260" s="15"/>
      <c r="K260" s="15"/>
      <c r="L260" s="15"/>
      <c r="M260" s="18"/>
      <c r="N260" s="18"/>
      <c r="O260" s="19"/>
      <c r="P260" s="20"/>
      <c r="R260" s="17"/>
      <c r="S260" s="22"/>
      <c r="T260" s="22"/>
    </row>
    <row r="261" spans="1:20" s="21" customFormat="1" ht="15.75">
      <c r="A261" s="23"/>
      <c r="B261" s="16"/>
      <c r="C261" s="16"/>
      <c r="D261" s="15"/>
      <c r="E261" s="17"/>
      <c r="F261" s="15"/>
      <c r="G261" s="18"/>
      <c r="H261" s="15"/>
      <c r="I261" s="15"/>
      <c r="J261" s="15"/>
      <c r="K261" s="15"/>
      <c r="L261" s="15"/>
      <c r="M261" s="18"/>
      <c r="N261" s="18"/>
      <c r="O261" s="19"/>
      <c r="P261" s="20"/>
      <c r="R261" s="17"/>
      <c r="S261" s="22"/>
      <c r="T261" s="22"/>
    </row>
    <row r="262" spans="1:20" s="21" customFormat="1" ht="15.75">
      <c r="A262" s="23"/>
      <c r="B262" s="16"/>
      <c r="C262" s="16"/>
      <c r="D262" s="15"/>
      <c r="E262" s="17"/>
      <c r="F262" s="15"/>
      <c r="G262" s="18"/>
      <c r="H262" s="15"/>
      <c r="I262" s="15"/>
      <c r="J262" s="15"/>
      <c r="K262" s="15"/>
      <c r="L262" s="15"/>
      <c r="M262" s="18"/>
      <c r="N262" s="18"/>
      <c r="O262" s="19"/>
      <c r="P262" s="20"/>
      <c r="R262" s="17"/>
      <c r="S262" s="22"/>
      <c r="T262" s="22"/>
    </row>
    <row r="263" spans="1:20" s="21" customFormat="1" ht="15.75">
      <c r="A263" s="23"/>
      <c r="B263" s="16"/>
      <c r="C263" s="16"/>
      <c r="D263" s="15"/>
      <c r="E263" s="17"/>
      <c r="F263" s="15"/>
      <c r="G263" s="18"/>
      <c r="H263" s="15"/>
      <c r="I263" s="15"/>
      <c r="J263" s="15"/>
      <c r="K263" s="15"/>
      <c r="L263" s="15"/>
      <c r="M263" s="18"/>
      <c r="N263" s="18"/>
      <c r="O263" s="19"/>
      <c r="P263" s="20"/>
      <c r="R263" s="17"/>
      <c r="S263" s="22"/>
      <c r="T263" s="22"/>
    </row>
    <row r="264" spans="1:20" s="21" customFormat="1" ht="15.75">
      <c r="A264" s="23"/>
      <c r="B264" s="16"/>
      <c r="C264" s="16"/>
      <c r="D264" s="15"/>
      <c r="E264" s="17"/>
      <c r="F264" s="15"/>
      <c r="G264" s="18"/>
      <c r="H264" s="15"/>
      <c r="I264" s="15"/>
      <c r="J264" s="15"/>
      <c r="K264" s="15"/>
      <c r="L264" s="15"/>
      <c r="M264" s="18"/>
      <c r="N264" s="18"/>
      <c r="O264" s="19"/>
      <c r="P264" s="20"/>
      <c r="R264" s="17"/>
      <c r="S264" s="22"/>
      <c r="T264" s="22"/>
    </row>
    <row r="265" spans="1:20" s="21" customFormat="1" ht="15.75">
      <c r="A265" s="23"/>
      <c r="B265" s="16"/>
      <c r="C265" s="16"/>
      <c r="D265" s="15"/>
      <c r="E265" s="17"/>
      <c r="F265" s="15"/>
      <c r="G265" s="18"/>
      <c r="H265" s="15"/>
      <c r="I265" s="15"/>
      <c r="J265" s="15"/>
      <c r="K265" s="15"/>
      <c r="L265" s="15"/>
      <c r="M265" s="18"/>
      <c r="N265" s="18"/>
      <c r="O265" s="19"/>
      <c r="P265" s="20"/>
      <c r="R265" s="17"/>
      <c r="S265" s="22"/>
      <c r="T265" s="22"/>
    </row>
    <row r="266" spans="1:20" s="21" customFormat="1" ht="15.75">
      <c r="A266" s="23"/>
      <c r="B266" s="16"/>
      <c r="C266" s="16"/>
      <c r="D266" s="15"/>
      <c r="E266" s="17"/>
      <c r="F266" s="15"/>
      <c r="G266" s="18"/>
      <c r="H266" s="15"/>
      <c r="I266" s="15"/>
      <c r="J266" s="15"/>
      <c r="K266" s="15"/>
      <c r="L266" s="15"/>
      <c r="M266" s="18"/>
      <c r="N266" s="18"/>
      <c r="O266" s="19"/>
      <c r="P266" s="20"/>
      <c r="R266" s="17"/>
      <c r="S266" s="22"/>
      <c r="T266" s="22"/>
    </row>
    <row r="267" spans="1:20" s="21" customFormat="1" ht="15.75">
      <c r="A267" s="23"/>
      <c r="B267" s="16"/>
      <c r="C267" s="16"/>
      <c r="D267" s="15"/>
      <c r="E267" s="17"/>
      <c r="F267" s="15"/>
      <c r="G267" s="18"/>
      <c r="H267" s="15"/>
      <c r="I267" s="15"/>
      <c r="J267" s="15"/>
      <c r="K267" s="15"/>
      <c r="L267" s="15"/>
      <c r="M267" s="18"/>
      <c r="N267" s="18"/>
      <c r="O267" s="19"/>
      <c r="P267" s="20"/>
      <c r="R267" s="17"/>
      <c r="S267" s="22"/>
      <c r="T267" s="22"/>
    </row>
    <row r="268" spans="1:20" s="21" customFormat="1" ht="15.75">
      <c r="A268" s="23"/>
      <c r="B268" s="16"/>
      <c r="C268" s="16"/>
      <c r="D268" s="15"/>
      <c r="E268" s="17"/>
      <c r="F268" s="15"/>
      <c r="G268" s="18"/>
      <c r="H268" s="15"/>
      <c r="I268" s="15"/>
      <c r="J268" s="15"/>
      <c r="K268" s="15"/>
      <c r="L268" s="15"/>
      <c r="M268" s="18"/>
      <c r="N268" s="18"/>
      <c r="O268" s="19"/>
      <c r="P268" s="20"/>
      <c r="R268" s="17"/>
      <c r="S268" s="22"/>
      <c r="T268" s="22"/>
    </row>
    <row r="269" spans="1:20" s="21" customFormat="1" ht="15.75">
      <c r="A269" s="23"/>
      <c r="B269" s="16"/>
      <c r="C269" s="16"/>
      <c r="D269" s="15"/>
      <c r="E269" s="17"/>
      <c r="F269" s="15"/>
      <c r="G269" s="18"/>
      <c r="H269" s="15"/>
      <c r="I269" s="15"/>
      <c r="J269" s="15"/>
      <c r="K269" s="15"/>
      <c r="L269" s="15"/>
      <c r="M269" s="18"/>
      <c r="N269" s="18"/>
      <c r="O269" s="19"/>
      <c r="P269" s="20"/>
      <c r="R269" s="17"/>
      <c r="S269" s="22"/>
      <c r="T269" s="22"/>
    </row>
    <row r="270" spans="1:20" s="21" customFormat="1" ht="15.75">
      <c r="A270" s="23"/>
      <c r="B270" s="16"/>
      <c r="C270" s="16"/>
      <c r="D270" s="15"/>
      <c r="E270" s="17"/>
      <c r="F270" s="15"/>
      <c r="G270" s="18"/>
      <c r="H270" s="15"/>
      <c r="I270" s="15"/>
      <c r="J270" s="15"/>
      <c r="K270" s="15"/>
      <c r="L270" s="15"/>
      <c r="M270" s="18"/>
      <c r="N270" s="18"/>
      <c r="O270" s="19"/>
      <c r="P270" s="20"/>
      <c r="R270" s="17"/>
      <c r="S270" s="22"/>
      <c r="T270" s="22"/>
    </row>
    <row r="271" spans="1:20" s="21" customFormat="1" ht="15.75">
      <c r="A271" s="23"/>
      <c r="B271" s="16"/>
      <c r="C271" s="16"/>
      <c r="D271" s="15"/>
      <c r="E271" s="17"/>
      <c r="F271" s="15"/>
      <c r="G271" s="18"/>
      <c r="H271" s="15"/>
      <c r="I271" s="15"/>
      <c r="J271" s="15"/>
      <c r="K271" s="15"/>
      <c r="L271" s="15"/>
      <c r="M271" s="18"/>
      <c r="N271" s="18"/>
      <c r="O271" s="19"/>
      <c r="P271" s="20"/>
      <c r="R271" s="17"/>
      <c r="S271" s="22"/>
      <c r="T271" s="22"/>
    </row>
    <row r="272" spans="1:20" s="21" customFormat="1" ht="15.75">
      <c r="A272" s="23"/>
      <c r="B272" s="16"/>
      <c r="C272" s="16"/>
      <c r="D272" s="15"/>
      <c r="E272" s="17"/>
      <c r="F272" s="15"/>
      <c r="G272" s="18"/>
      <c r="H272" s="15"/>
      <c r="I272" s="15"/>
      <c r="J272" s="15"/>
      <c r="K272" s="15"/>
      <c r="L272" s="15"/>
      <c r="M272" s="18"/>
      <c r="N272" s="18"/>
      <c r="O272" s="19"/>
      <c r="P272" s="20"/>
      <c r="R272" s="17"/>
      <c r="S272" s="22"/>
      <c r="T272" s="22"/>
    </row>
    <row r="273" spans="1:20" s="21" customFormat="1" ht="15.75">
      <c r="A273" s="23"/>
      <c r="B273" s="16"/>
      <c r="C273" s="16"/>
      <c r="D273" s="15"/>
      <c r="E273" s="17"/>
      <c r="F273" s="15"/>
      <c r="G273" s="18"/>
      <c r="H273" s="15"/>
      <c r="I273" s="15"/>
      <c r="J273" s="15"/>
      <c r="K273" s="15"/>
      <c r="L273" s="15"/>
      <c r="M273" s="18"/>
      <c r="N273" s="18"/>
      <c r="O273" s="19"/>
      <c r="P273" s="20"/>
      <c r="R273" s="17"/>
      <c r="S273" s="22"/>
      <c r="T273" s="22"/>
    </row>
    <row r="274" spans="1:20" s="21" customFormat="1" ht="15.75">
      <c r="A274" s="23"/>
      <c r="B274" s="16"/>
      <c r="C274" s="16"/>
      <c r="D274" s="15"/>
      <c r="E274" s="17"/>
      <c r="F274" s="15"/>
      <c r="G274" s="18"/>
      <c r="H274" s="15"/>
      <c r="I274" s="15"/>
      <c r="J274" s="15"/>
      <c r="K274" s="15"/>
      <c r="L274" s="15"/>
      <c r="M274" s="18"/>
      <c r="N274" s="18"/>
      <c r="O274" s="19"/>
      <c r="P274" s="20"/>
      <c r="R274" s="17"/>
      <c r="S274" s="22"/>
      <c r="T274" s="22"/>
    </row>
    <row r="275" spans="1:20" s="21" customFormat="1" ht="15.75">
      <c r="A275" s="23"/>
      <c r="B275" s="16"/>
      <c r="C275" s="16"/>
      <c r="D275" s="15"/>
      <c r="E275" s="17"/>
      <c r="F275" s="15"/>
      <c r="G275" s="18"/>
      <c r="H275" s="15"/>
      <c r="I275" s="15"/>
      <c r="J275" s="15"/>
      <c r="K275" s="15"/>
      <c r="L275" s="15"/>
      <c r="M275" s="18"/>
      <c r="N275" s="18"/>
      <c r="O275" s="19"/>
      <c r="P275" s="20"/>
      <c r="R275" s="17"/>
      <c r="S275" s="22"/>
      <c r="T275" s="22"/>
    </row>
    <row r="276" spans="1:20" s="21" customFormat="1" ht="15.75">
      <c r="A276" s="23"/>
      <c r="B276" s="16"/>
      <c r="C276" s="16"/>
      <c r="D276" s="15"/>
      <c r="E276" s="17"/>
      <c r="F276" s="15"/>
      <c r="G276" s="18"/>
      <c r="H276" s="15"/>
      <c r="I276" s="15"/>
      <c r="J276" s="15"/>
      <c r="K276" s="15"/>
      <c r="L276" s="15"/>
      <c r="M276" s="18"/>
      <c r="N276" s="18"/>
      <c r="O276" s="19"/>
      <c r="P276" s="20"/>
      <c r="R276" s="17"/>
      <c r="S276" s="22"/>
      <c r="T276" s="22"/>
    </row>
    <row r="277" spans="1:20" s="21" customFormat="1" ht="15.75">
      <c r="A277" s="23"/>
      <c r="B277" s="16"/>
      <c r="C277" s="16"/>
      <c r="D277" s="15"/>
      <c r="E277" s="17"/>
      <c r="F277" s="15"/>
      <c r="G277" s="18"/>
      <c r="H277" s="15"/>
      <c r="I277" s="15"/>
      <c r="J277" s="15"/>
      <c r="K277" s="15"/>
      <c r="L277" s="15"/>
      <c r="M277" s="18"/>
      <c r="N277" s="18"/>
      <c r="O277" s="19"/>
      <c r="P277" s="20"/>
      <c r="R277" s="17"/>
      <c r="S277" s="22"/>
      <c r="T277" s="22"/>
    </row>
    <row r="278" spans="1:20" s="21" customFormat="1" ht="15.75">
      <c r="A278" s="23"/>
      <c r="B278" s="16"/>
      <c r="C278" s="16"/>
      <c r="D278" s="15"/>
      <c r="E278" s="17"/>
      <c r="F278" s="15"/>
      <c r="G278" s="18"/>
      <c r="H278" s="15"/>
      <c r="I278" s="15"/>
      <c r="J278" s="15"/>
      <c r="K278" s="15"/>
      <c r="L278" s="15"/>
      <c r="M278" s="18"/>
      <c r="N278" s="18"/>
      <c r="O278" s="19"/>
      <c r="P278" s="20"/>
      <c r="R278" s="17"/>
      <c r="S278" s="22"/>
      <c r="T278" s="22"/>
    </row>
    <row r="279" spans="1:20" s="21" customFormat="1" ht="15.75">
      <c r="A279" s="23"/>
      <c r="B279" s="16"/>
      <c r="C279" s="16"/>
      <c r="D279" s="15"/>
      <c r="E279" s="17"/>
      <c r="F279" s="15"/>
      <c r="G279" s="18"/>
      <c r="H279" s="15"/>
      <c r="I279" s="15"/>
      <c r="J279" s="15"/>
      <c r="K279" s="15"/>
      <c r="L279" s="15"/>
      <c r="M279" s="18"/>
      <c r="N279" s="18"/>
      <c r="O279" s="19"/>
      <c r="P279" s="20"/>
      <c r="R279" s="17"/>
      <c r="S279" s="22"/>
      <c r="T279" s="22"/>
    </row>
    <row r="280" spans="1:20" s="21" customFormat="1" ht="15.75">
      <c r="A280" s="23"/>
      <c r="B280" s="16"/>
      <c r="C280" s="16"/>
      <c r="D280" s="15"/>
      <c r="E280" s="17"/>
      <c r="F280" s="15"/>
      <c r="G280" s="18"/>
      <c r="H280" s="15"/>
      <c r="I280" s="15"/>
      <c r="J280" s="15"/>
      <c r="K280" s="15"/>
      <c r="L280" s="15"/>
      <c r="M280" s="18"/>
      <c r="N280" s="18"/>
      <c r="O280" s="19"/>
      <c r="P280" s="20"/>
      <c r="R280" s="17"/>
      <c r="S280" s="22"/>
      <c r="T280" s="22"/>
    </row>
    <row r="281" spans="1:20" s="21" customFormat="1" ht="15.75">
      <c r="A281" s="23"/>
      <c r="B281" s="16"/>
      <c r="C281" s="16"/>
      <c r="D281" s="15"/>
      <c r="E281" s="17"/>
      <c r="F281" s="15"/>
      <c r="G281" s="18"/>
      <c r="H281" s="15"/>
      <c r="I281" s="15"/>
      <c r="J281" s="15"/>
      <c r="K281" s="15"/>
      <c r="L281" s="15"/>
      <c r="M281" s="18"/>
      <c r="N281" s="18"/>
      <c r="O281" s="19"/>
      <c r="P281" s="20"/>
      <c r="R281" s="17"/>
      <c r="S281" s="22"/>
      <c r="T281" s="22"/>
    </row>
    <row r="282" spans="1:20" s="21" customFormat="1" ht="15.75">
      <c r="A282" s="23"/>
      <c r="B282" s="16"/>
      <c r="C282" s="16"/>
      <c r="D282" s="15"/>
      <c r="E282" s="17"/>
      <c r="F282" s="15"/>
      <c r="G282" s="18"/>
      <c r="H282" s="15"/>
      <c r="I282" s="15"/>
      <c r="J282" s="15"/>
      <c r="K282" s="15"/>
      <c r="L282" s="15"/>
      <c r="M282" s="18"/>
      <c r="N282" s="18"/>
      <c r="O282" s="19"/>
      <c r="P282" s="20"/>
      <c r="R282" s="17"/>
      <c r="S282" s="22"/>
      <c r="T282" s="22"/>
    </row>
    <row r="283" spans="1:20" s="21" customFormat="1" ht="15.75">
      <c r="A283" s="23"/>
      <c r="B283" s="16"/>
      <c r="C283" s="16"/>
      <c r="D283" s="15"/>
      <c r="E283" s="17"/>
      <c r="F283" s="15"/>
      <c r="G283" s="18"/>
      <c r="H283" s="15"/>
      <c r="I283" s="15"/>
      <c r="J283" s="15"/>
      <c r="K283" s="15"/>
      <c r="L283" s="15"/>
      <c r="M283" s="18"/>
      <c r="N283" s="18"/>
      <c r="O283" s="19"/>
      <c r="P283" s="20"/>
      <c r="R283" s="17"/>
      <c r="S283" s="22"/>
      <c r="T283" s="22"/>
    </row>
    <row r="284" spans="1:20" s="21" customFormat="1" ht="15.75">
      <c r="A284" s="23"/>
      <c r="B284" s="16"/>
      <c r="C284" s="16"/>
      <c r="D284" s="15"/>
      <c r="E284" s="17"/>
      <c r="F284" s="15"/>
      <c r="G284" s="18"/>
      <c r="H284" s="15"/>
      <c r="I284" s="15"/>
      <c r="J284" s="15"/>
      <c r="K284" s="15"/>
      <c r="L284" s="15"/>
      <c r="M284" s="18"/>
      <c r="N284" s="18"/>
      <c r="O284" s="19"/>
      <c r="P284" s="20"/>
      <c r="R284" s="17"/>
      <c r="S284" s="22"/>
      <c r="T284" s="22"/>
    </row>
    <row r="285" spans="1:20" s="21" customFormat="1" ht="15.75">
      <c r="A285" s="23"/>
      <c r="B285" s="16"/>
      <c r="C285" s="16"/>
      <c r="D285" s="15"/>
      <c r="E285" s="17"/>
      <c r="F285" s="15"/>
      <c r="G285" s="18"/>
      <c r="H285" s="15"/>
      <c r="I285" s="15"/>
      <c r="J285" s="15"/>
      <c r="K285" s="15"/>
      <c r="L285" s="15"/>
      <c r="M285" s="18"/>
      <c r="N285" s="18"/>
      <c r="O285" s="19"/>
      <c r="P285" s="20"/>
      <c r="R285" s="17"/>
      <c r="S285" s="22"/>
      <c r="T285" s="22"/>
    </row>
    <row r="286" spans="1:20" s="21" customFormat="1" ht="15.75">
      <c r="A286" s="23"/>
      <c r="B286" s="16"/>
      <c r="C286" s="16"/>
      <c r="D286" s="15"/>
      <c r="E286" s="17"/>
      <c r="F286" s="15"/>
      <c r="G286" s="18"/>
      <c r="H286" s="15"/>
      <c r="I286" s="15"/>
      <c r="J286" s="15"/>
      <c r="K286" s="15"/>
      <c r="L286" s="15"/>
      <c r="M286" s="18"/>
      <c r="N286" s="18"/>
      <c r="O286" s="19"/>
      <c r="P286" s="20"/>
      <c r="R286" s="17"/>
      <c r="S286" s="22"/>
      <c r="T286" s="22"/>
    </row>
    <row r="287" spans="1:20" s="21" customFormat="1" ht="15.75">
      <c r="A287" s="23"/>
      <c r="B287" s="16"/>
      <c r="C287" s="16"/>
      <c r="D287" s="15"/>
      <c r="E287" s="17"/>
      <c r="F287" s="15"/>
      <c r="G287" s="18"/>
      <c r="H287" s="15"/>
      <c r="I287" s="15"/>
      <c r="J287" s="15"/>
      <c r="K287" s="15"/>
      <c r="L287" s="15"/>
      <c r="M287" s="18"/>
      <c r="N287" s="18"/>
      <c r="O287" s="19"/>
      <c r="P287" s="20"/>
      <c r="R287" s="17"/>
      <c r="S287" s="22"/>
      <c r="T287" s="22"/>
    </row>
    <row r="288" spans="1:20" s="21" customFormat="1" ht="15.75">
      <c r="A288" s="23"/>
      <c r="B288" s="16"/>
      <c r="C288" s="16"/>
      <c r="D288" s="15"/>
      <c r="E288" s="17"/>
      <c r="F288" s="15"/>
      <c r="G288" s="18"/>
      <c r="H288" s="15"/>
      <c r="I288" s="15"/>
      <c r="J288" s="15"/>
      <c r="K288" s="15"/>
      <c r="L288" s="15"/>
      <c r="M288" s="18"/>
      <c r="N288" s="18"/>
      <c r="O288" s="19"/>
      <c r="P288" s="20"/>
      <c r="R288" s="17"/>
      <c r="S288" s="22"/>
      <c r="T288" s="22"/>
    </row>
    <row r="289" spans="1:20" s="21" customFormat="1" ht="15.75">
      <c r="A289" s="23"/>
      <c r="B289" s="16"/>
      <c r="C289" s="16"/>
      <c r="D289" s="15"/>
      <c r="E289" s="17"/>
      <c r="F289" s="15"/>
      <c r="G289" s="18"/>
      <c r="H289" s="15"/>
      <c r="I289" s="15"/>
      <c r="J289" s="15"/>
      <c r="K289" s="15"/>
      <c r="L289" s="15"/>
      <c r="M289" s="18"/>
      <c r="N289" s="18"/>
      <c r="O289" s="19"/>
      <c r="P289" s="20"/>
      <c r="R289" s="17"/>
      <c r="S289" s="22"/>
      <c r="T289" s="22"/>
    </row>
    <row r="290" spans="1:20" s="21" customFormat="1" ht="15.75">
      <c r="A290" s="23"/>
      <c r="B290" s="16"/>
      <c r="C290" s="16"/>
      <c r="D290" s="15"/>
      <c r="E290" s="17"/>
      <c r="F290" s="15"/>
      <c r="G290" s="18"/>
      <c r="H290" s="15"/>
      <c r="I290" s="15"/>
      <c r="J290" s="15"/>
      <c r="K290" s="15"/>
      <c r="L290" s="15"/>
      <c r="M290" s="18"/>
      <c r="N290" s="18"/>
      <c r="O290" s="19"/>
      <c r="P290" s="20"/>
      <c r="R290" s="17"/>
      <c r="S290" s="22"/>
      <c r="T290" s="22"/>
    </row>
    <row r="291" spans="1:20" s="21" customFormat="1" ht="15.75">
      <c r="A291" s="23"/>
      <c r="B291" s="16"/>
      <c r="C291" s="16"/>
      <c r="D291" s="15"/>
      <c r="E291" s="17"/>
      <c r="F291" s="15"/>
      <c r="G291" s="18"/>
      <c r="H291" s="15"/>
      <c r="I291" s="15"/>
      <c r="J291" s="15"/>
      <c r="K291" s="15"/>
      <c r="L291" s="15"/>
      <c r="M291" s="18"/>
      <c r="N291" s="18"/>
      <c r="O291" s="19"/>
      <c r="P291" s="20"/>
      <c r="R291" s="17"/>
      <c r="S291" s="22"/>
      <c r="T291" s="22"/>
    </row>
    <row r="292" spans="1:20" s="21" customFormat="1" ht="15.75">
      <c r="A292" s="23"/>
      <c r="B292" s="16"/>
      <c r="C292" s="16"/>
      <c r="D292" s="15"/>
      <c r="E292" s="17"/>
      <c r="F292" s="15"/>
      <c r="G292" s="18"/>
      <c r="H292" s="15"/>
      <c r="I292" s="15"/>
      <c r="J292" s="15"/>
      <c r="K292" s="15"/>
      <c r="L292" s="15"/>
      <c r="M292" s="18"/>
      <c r="N292" s="18"/>
      <c r="O292" s="19"/>
      <c r="P292" s="20"/>
      <c r="R292" s="17"/>
      <c r="S292" s="22"/>
      <c r="T292" s="22"/>
    </row>
    <row r="293" spans="1:20" s="21" customFormat="1" ht="15.75">
      <c r="A293" s="23"/>
      <c r="B293" s="16"/>
      <c r="C293" s="16"/>
      <c r="D293" s="15"/>
      <c r="E293" s="17"/>
      <c r="F293" s="15"/>
      <c r="G293" s="18"/>
      <c r="H293" s="15"/>
      <c r="I293" s="15"/>
      <c r="J293" s="15"/>
      <c r="K293" s="15"/>
      <c r="L293" s="15"/>
      <c r="M293" s="18"/>
      <c r="N293" s="18"/>
      <c r="O293" s="19"/>
      <c r="P293" s="20"/>
      <c r="R293" s="17"/>
      <c r="S293" s="22"/>
      <c r="T293" s="22"/>
    </row>
    <row r="294" spans="1:20" s="21" customFormat="1" ht="15.75">
      <c r="A294" s="23"/>
      <c r="B294" s="16"/>
      <c r="C294" s="16"/>
      <c r="D294" s="15"/>
      <c r="E294" s="17"/>
      <c r="F294" s="15"/>
      <c r="G294" s="18"/>
      <c r="H294" s="15"/>
      <c r="I294" s="15"/>
      <c r="J294" s="15"/>
      <c r="K294" s="15"/>
      <c r="L294" s="15"/>
      <c r="M294" s="18"/>
      <c r="N294" s="18"/>
      <c r="O294" s="19"/>
      <c r="P294" s="20"/>
      <c r="R294" s="17"/>
      <c r="S294" s="22"/>
      <c r="T294" s="22"/>
    </row>
    <row r="295" spans="1:20" s="21" customFormat="1" ht="15.75">
      <c r="A295" s="23"/>
      <c r="B295" s="16"/>
      <c r="C295" s="16"/>
      <c r="D295" s="15"/>
      <c r="E295" s="17"/>
      <c r="F295" s="15"/>
      <c r="G295" s="18"/>
      <c r="H295" s="15"/>
      <c r="I295" s="15"/>
      <c r="J295" s="15"/>
      <c r="K295" s="15"/>
      <c r="L295" s="15"/>
      <c r="M295" s="18"/>
      <c r="N295" s="18"/>
      <c r="O295" s="19"/>
      <c r="P295" s="20"/>
      <c r="R295" s="17"/>
      <c r="S295" s="22"/>
      <c r="T295" s="22"/>
    </row>
    <row r="296" spans="1:20" s="21" customFormat="1" ht="15.75">
      <c r="A296" s="23"/>
      <c r="B296" s="16"/>
      <c r="C296" s="16"/>
      <c r="D296" s="15"/>
      <c r="E296" s="17"/>
      <c r="F296" s="15"/>
      <c r="G296" s="18"/>
      <c r="H296" s="15"/>
      <c r="I296" s="15"/>
      <c r="J296" s="15"/>
      <c r="K296" s="15"/>
      <c r="L296" s="15"/>
      <c r="M296" s="18"/>
      <c r="N296" s="18"/>
      <c r="O296" s="19"/>
      <c r="P296" s="20"/>
      <c r="R296" s="17"/>
      <c r="S296" s="22"/>
      <c r="T296" s="22"/>
    </row>
    <row r="297" spans="1:20" s="21" customFormat="1" ht="15.75">
      <c r="A297" s="23"/>
      <c r="B297" s="16"/>
      <c r="C297" s="16"/>
      <c r="D297" s="15"/>
      <c r="E297" s="17"/>
      <c r="F297" s="15"/>
      <c r="G297" s="18"/>
      <c r="H297" s="15"/>
      <c r="I297" s="15"/>
      <c r="J297" s="15"/>
      <c r="K297" s="15"/>
      <c r="L297" s="15"/>
      <c r="M297" s="18"/>
      <c r="N297" s="18"/>
      <c r="O297" s="19"/>
      <c r="P297" s="20"/>
      <c r="R297" s="17"/>
      <c r="S297" s="22"/>
      <c r="T297" s="22"/>
    </row>
    <row r="298" spans="1:20" s="21" customFormat="1" ht="15.75">
      <c r="A298" s="23"/>
      <c r="B298" s="16"/>
      <c r="C298" s="16"/>
      <c r="D298" s="15"/>
      <c r="E298" s="17"/>
      <c r="F298" s="15"/>
      <c r="G298" s="18"/>
      <c r="H298" s="15"/>
      <c r="I298" s="15"/>
      <c r="J298" s="15"/>
      <c r="K298" s="15"/>
      <c r="L298" s="15"/>
      <c r="M298" s="18"/>
      <c r="N298" s="18"/>
      <c r="O298" s="19"/>
      <c r="P298" s="20"/>
      <c r="R298" s="17"/>
      <c r="S298" s="22"/>
      <c r="T298" s="22"/>
    </row>
    <row r="299" spans="1:20" s="21" customFormat="1" ht="15.75">
      <c r="A299" s="23"/>
      <c r="B299" s="16"/>
      <c r="C299" s="16"/>
      <c r="D299" s="15"/>
      <c r="E299" s="17"/>
      <c r="F299" s="15"/>
      <c r="G299" s="18"/>
      <c r="H299" s="15"/>
      <c r="I299" s="15"/>
      <c r="J299" s="15"/>
      <c r="K299" s="15"/>
      <c r="L299" s="15"/>
      <c r="M299" s="18"/>
      <c r="N299" s="18"/>
      <c r="O299" s="19"/>
      <c r="P299" s="20"/>
      <c r="R299" s="17"/>
      <c r="S299" s="22"/>
      <c r="T299" s="22"/>
    </row>
    <row r="300" spans="1:20" s="21" customFormat="1" ht="15.75">
      <c r="A300" s="23"/>
      <c r="B300" s="16"/>
      <c r="C300" s="16"/>
      <c r="D300" s="15"/>
      <c r="E300" s="17"/>
      <c r="F300" s="15"/>
      <c r="G300" s="18"/>
      <c r="H300" s="15"/>
      <c r="I300" s="15"/>
      <c r="J300" s="15"/>
      <c r="K300" s="15"/>
      <c r="L300" s="15"/>
      <c r="M300" s="18"/>
      <c r="N300" s="18"/>
      <c r="O300" s="19"/>
      <c r="P300" s="20"/>
      <c r="R300" s="17"/>
      <c r="S300" s="22"/>
      <c r="T300" s="22"/>
    </row>
    <row r="301" spans="1:20" s="21" customFormat="1" ht="15.75">
      <c r="A301" s="23"/>
      <c r="B301" s="16"/>
      <c r="C301" s="16"/>
      <c r="D301" s="15"/>
      <c r="E301" s="17"/>
      <c r="F301" s="15"/>
      <c r="G301" s="18"/>
      <c r="H301" s="15"/>
      <c r="I301" s="15"/>
      <c r="J301" s="15"/>
      <c r="K301" s="15"/>
      <c r="L301" s="15"/>
      <c r="M301" s="18"/>
      <c r="N301" s="18"/>
      <c r="O301" s="19"/>
      <c r="P301" s="20"/>
      <c r="R301" s="17"/>
      <c r="S301" s="22"/>
      <c r="T301" s="22"/>
    </row>
    <row r="302" spans="1:20" s="21" customFormat="1" ht="15.75">
      <c r="A302" s="23"/>
      <c r="B302" s="16"/>
      <c r="C302" s="16"/>
      <c r="D302" s="15"/>
      <c r="E302" s="17"/>
      <c r="F302" s="15"/>
      <c r="G302" s="18"/>
      <c r="H302" s="15"/>
      <c r="I302" s="15"/>
      <c r="J302" s="15"/>
      <c r="K302" s="15"/>
      <c r="L302" s="15"/>
      <c r="M302" s="18"/>
      <c r="N302" s="18"/>
      <c r="O302" s="19"/>
      <c r="P302" s="20"/>
      <c r="R302" s="17"/>
      <c r="S302" s="22"/>
      <c r="T302" s="22"/>
    </row>
    <row r="303" spans="1:20" s="21" customFormat="1" ht="15.75">
      <c r="A303" s="23"/>
      <c r="B303" s="16"/>
      <c r="C303" s="16"/>
      <c r="D303" s="15"/>
      <c r="E303" s="17"/>
      <c r="F303" s="15"/>
      <c r="G303" s="18"/>
      <c r="H303" s="15"/>
      <c r="I303" s="15"/>
      <c r="J303" s="15"/>
      <c r="K303" s="15"/>
      <c r="L303" s="15"/>
      <c r="M303" s="18"/>
      <c r="N303" s="18"/>
      <c r="O303" s="19"/>
      <c r="P303" s="20"/>
      <c r="R303" s="17"/>
      <c r="S303" s="22"/>
      <c r="T303" s="22"/>
    </row>
    <row r="304" spans="1:20" s="21" customFormat="1" ht="15.75">
      <c r="A304" s="23"/>
      <c r="B304" s="16"/>
      <c r="C304" s="16"/>
      <c r="D304" s="15"/>
      <c r="E304" s="17"/>
      <c r="F304" s="15"/>
      <c r="G304" s="18"/>
      <c r="H304" s="15"/>
      <c r="I304" s="15"/>
      <c r="J304" s="15"/>
      <c r="K304" s="15"/>
      <c r="L304" s="15"/>
      <c r="M304" s="18"/>
      <c r="N304" s="18"/>
      <c r="O304" s="19"/>
      <c r="P304" s="20"/>
      <c r="R304" s="17"/>
      <c r="S304" s="22"/>
      <c r="T304" s="22"/>
    </row>
    <row r="305" spans="1:20" s="21" customFormat="1" ht="15.75">
      <c r="A305" s="23"/>
      <c r="B305" s="16"/>
      <c r="C305" s="16"/>
      <c r="D305" s="15"/>
      <c r="E305" s="17"/>
      <c r="F305" s="15"/>
      <c r="G305" s="18"/>
      <c r="H305" s="15"/>
      <c r="I305" s="15"/>
      <c r="J305" s="15"/>
      <c r="K305" s="15"/>
      <c r="L305" s="15"/>
      <c r="M305" s="18"/>
      <c r="N305" s="18"/>
      <c r="O305" s="19"/>
      <c r="P305" s="20"/>
      <c r="R305" s="17"/>
      <c r="S305" s="22"/>
      <c r="T305" s="22"/>
    </row>
    <row r="306" spans="1:20" s="21" customFormat="1" ht="15.75">
      <c r="A306" s="23"/>
      <c r="B306" s="16"/>
      <c r="C306" s="16"/>
      <c r="D306" s="15"/>
      <c r="E306" s="17"/>
      <c r="F306" s="15"/>
      <c r="G306" s="18"/>
      <c r="H306" s="15"/>
      <c r="I306" s="15"/>
      <c r="J306" s="15"/>
      <c r="K306" s="15"/>
      <c r="L306" s="15"/>
      <c r="M306" s="18"/>
      <c r="N306" s="18"/>
      <c r="O306" s="19"/>
      <c r="P306" s="20"/>
      <c r="R306" s="17"/>
      <c r="S306" s="22"/>
      <c r="T306" s="22"/>
    </row>
    <row r="307" spans="1:20" s="21" customFormat="1" ht="15.75">
      <c r="A307" s="23"/>
      <c r="B307" s="16"/>
      <c r="C307" s="16"/>
      <c r="D307" s="15"/>
      <c r="E307" s="17"/>
      <c r="F307" s="15"/>
      <c r="G307" s="18"/>
      <c r="H307" s="15"/>
      <c r="I307" s="15"/>
      <c r="J307" s="15"/>
      <c r="K307" s="15"/>
      <c r="L307" s="15"/>
      <c r="M307" s="18"/>
      <c r="N307" s="18"/>
      <c r="O307" s="19"/>
      <c r="P307" s="20"/>
      <c r="R307" s="17"/>
      <c r="S307" s="22"/>
      <c r="T307" s="22"/>
    </row>
    <row r="308" spans="1:20" s="21" customFormat="1" ht="15.75">
      <c r="A308" s="23"/>
      <c r="B308" s="16"/>
      <c r="C308" s="16"/>
      <c r="D308" s="15"/>
      <c r="E308" s="17"/>
      <c r="F308" s="15"/>
      <c r="G308" s="18"/>
      <c r="H308" s="15"/>
      <c r="I308" s="15"/>
      <c r="J308" s="15"/>
      <c r="K308" s="15"/>
      <c r="L308" s="15"/>
      <c r="M308" s="18"/>
      <c r="N308" s="18"/>
      <c r="O308" s="19"/>
      <c r="P308" s="20"/>
      <c r="R308" s="17"/>
      <c r="S308" s="22"/>
      <c r="T308" s="22"/>
    </row>
    <row r="309" spans="1:20" s="21" customFormat="1" ht="15.75">
      <c r="A309" s="23"/>
      <c r="B309" s="16"/>
      <c r="C309" s="16"/>
      <c r="D309" s="15"/>
      <c r="E309" s="17"/>
      <c r="F309" s="15"/>
      <c r="G309" s="18"/>
      <c r="H309" s="15"/>
      <c r="I309" s="15"/>
      <c r="J309" s="15"/>
      <c r="K309" s="15"/>
      <c r="L309" s="15"/>
      <c r="M309" s="18"/>
      <c r="N309" s="18"/>
      <c r="O309" s="19"/>
      <c r="P309" s="20"/>
      <c r="R309" s="17"/>
      <c r="S309" s="22"/>
      <c r="T309" s="22"/>
    </row>
    <row r="310" spans="1:20" s="21" customFormat="1" ht="15.75">
      <c r="A310" s="23"/>
      <c r="B310" s="16"/>
      <c r="C310" s="16"/>
      <c r="D310" s="15"/>
      <c r="E310" s="17"/>
      <c r="F310" s="15"/>
      <c r="G310" s="18"/>
      <c r="H310" s="15"/>
      <c r="I310" s="15"/>
      <c r="J310" s="15"/>
      <c r="K310" s="15"/>
      <c r="L310" s="15"/>
      <c r="M310" s="18"/>
      <c r="N310" s="18"/>
      <c r="O310" s="19"/>
      <c r="P310" s="20"/>
      <c r="R310" s="17"/>
      <c r="S310" s="22"/>
      <c r="T310" s="22"/>
    </row>
    <row r="311" spans="1:20" s="21" customFormat="1" ht="15.75">
      <c r="A311" s="23"/>
      <c r="B311" s="16"/>
      <c r="C311" s="16"/>
      <c r="D311" s="15"/>
      <c r="E311" s="17"/>
      <c r="F311" s="15"/>
      <c r="G311" s="18"/>
      <c r="H311" s="15"/>
      <c r="I311" s="15"/>
      <c r="J311" s="15"/>
      <c r="K311" s="15"/>
      <c r="L311" s="15"/>
      <c r="M311" s="18"/>
      <c r="N311" s="18"/>
      <c r="O311" s="19"/>
      <c r="P311" s="20"/>
      <c r="R311" s="17"/>
      <c r="S311" s="22"/>
      <c r="T311" s="22"/>
    </row>
    <row r="312" spans="1:20" s="21" customFormat="1" ht="15.75">
      <c r="A312" s="23"/>
      <c r="B312" s="16"/>
      <c r="C312" s="16"/>
      <c r="D312" s="15"/>
      <c r="E312" s="17"/>
      <c r="F312" s="15"/>
      <c r="G312" s="18"/>
      <c r="H312" s="15"/>
      <c r="I312" s="15"/>
      <c r="J312" s="15"/>
      <c r="K312" s="15"/>
      <c r="L312" s="15"/>
      <c r="M312" s="18"/>
      <c r="N312" s="18"/>
      <c r="O312" s="19"/>
      <c r="P312" s="20"/>
      <c r="R312" s="17"/>
      <c r="S312" s="22"/>
      <c r="T312" s="22"/>
    </row>
    <row r="313" spans="1:20" s="21" customFormat="1" ht="15.75">
      <c r="A313" s="23"/>
      <c r="B313" s="16"/>
      <c r="C313" s="16"/>
      <c r="D313" s="15"/>
      <c r="E313" s="17"/>
      <c r="F313" s="15"/>
      <c r="G313" s="18"/>
      <c r="H313" s="15"/>
      <c r="I313" s="15"/>
      <c r="J313" s="15"/>
      <c r="K313" s="15"/>
      <c r="L313" s="15"/>
      <c r="M313" s="18"/>
      <c r="N313" s="18"/>
      <c r="O313" s="19"/>
      <c r="P313" s="20"/>
      <c r="R313" s="17"/>
      <c r="S313" s="22"/>
      <c r="T313" s="22"/>
    </row>
    <row r="314" spans="1:20" s="21" customFormat="1" ht="15.75">
      <c r="A314" s="23"/>
      <c r="B314" s="16"/>
      <c r="C314" s="16"/>
      <c r="D314" s="15"/>
      <c r="E314" s="17"/>
      <c r="F314" s="15"/>
      <c r="G314" s="18"/>
      <c r="H314" s="15"/>
      <c r="I314" s="15"/>
      <c r="J314" s="15"/>
      <c r="K314" s="15"/>
      <c r="L314" s="15"/>
      <c r="M314" s="18"/>
      <c r="N314" s="18"/>
      <c r="O314" s="19"/>
      <c r="P314" s="20"/>
      <c r="R314" s="17"/>
      <c r="S314" s="22"/>
      <c r="T314" s="22"/>
    </row>
    <row r="315" spans="1:20" s="21" customFormat="1" ht="15.75">
      <c r="A315" s="23"/>
      <c r="B315" s="16"/>
      <c r="C315" s="16"/>
      <c r="D315" s="15"/>
      <c r="E315" s="17"/>
      <c r="F315" s="15"/>
      <c r="G315" s="18"/>
      <c r="H315" s="15"/>
      <c r="I315" s="15"/>
      <c r="J315" s="15"/>
      <c r="K315" s="15"/>
      <c r="L315" s="15"/>
      <c r="M315" s="18"/>
      <c r="N315" s="18"/>
      <c r="O315" s="19"/>
      <c r="P315" s="20"/>
      <c r="R315" s="17"/>
      <c r="S315" s="22"/>
      <c r="T315" s="22"/>
    </row>
    <row r="316" spans="1:20" s="21" customFormat="1" ht="15.75">
      <c r="A316" s="23"/>
      <c r="B316" s="16"/>
      <c r="C316" s="16"/>
      <c r="D316" s="15"/>
      <c r="E316" s="17"/>
      <c r="F316" s="15"/>
      <c r="G316" s="18"/>
      <c r="H316" s="15"/>
      <c r="I316" s="15"/>
      <c r="J316" s="15"/>
      <c r="K316" s="15"/>
      <c r="L316" s="15"/>
      <c r="M316" s="18"/>
      <c r="N316" s="18"/>
      <c r="O316" s="19"/>
      <c r="P316" s="20"/>
      <c r="R316" s="17"/>
      <c r="S316" s="22"/>
      <c r="T316" s="22"/>
    </row>
    <row r="317" spans="1:20" s="21" customFormat="1" ht="15.75">
      <c r="A317" s="23"/>
      <c r="B317" s="16"/>
      <c r="C317" s="16"/>
      <c r="D317" s="15"/>
      <c r="E317" s="17"/>
      <c r="F317" s="15"/>
      <c r="G317" s="18"/>
      <c r="H317" s="15"/>
      <c r="I317" s="15"/>
      <c r="J317" s="15"/>
      <c r="K317" s="15"/>
      <c r="L317" s="15"/>
      <c r="M317" s="18"/>
      <c r="N317" s="18"/>
      <c r="O317" s="19"/>
      <c r="P317" s="20"/>
      <c r="R317" s="17"/>
      <c r="S317" s="22"/>
      <c r="T317" s="22"/>
    </row>
    <row r="318" spans="1:20" s="21" customFormat="1" ht="15.75">
      <c r="A318" s="23"/>
      <c r="B318" s="16"/>
      <c r="C318" s="16"/>
      <c r="D318" s="15"/>
      <c r="E318" s="17"/>
      <c r="F318" s="15"/>
      <c r="G318" s="18"/>
      <c r="H318" s="15"/>
      <c r="I318" s="15"/>
      <c r="J318" s="15"/>
      <c r="K318" s="15"/>
      <c r="L318" s="15"/>
      <c r="M318" s="18"/>
      <c r="N318" s="18"/>
      <c r="O318" s="19"/>
      <c r="P318" s="20"/>
      <c r="R318" s="17"/>
      <c r="S318" s="22"/>
      <c r="T318" s="22"/>
    </row>
    <row r="319" spans="1:20" s="21" customFormat="1" ht="15.75">
      <c r="A319" s="23"/>
      <c r="B319" s="16"/>
      <c r="C319" s="16"/>
      <c r="D319" s="15"/>
      <c r="E319" s="17"/>
      <c r="F319" s="15"/>
      <c r="G319" s="18"/>
      <c r="H319" s="15"/>
      <c r="I319" s="15"/>
      <c r="J319" s="15"/>
      <c r="K319" s="15"/>
      <c r="L319" s="15"/>
      <c r="M319" s="18"/>
      <c r="N319" s="18"/>
      <c r="O319" s="19"/>
      <c r="P319" s="20"/>
      <c r="R319" s="17"/>
      <c r="S319" s="22"/>
      <c r="T319" s="22"/>
    </row>
    <row r="320" spans="1:20" s="21" customFormat="1" ht="15.75">
      <c r="A320" s="23"/>
      <c r="B320" s="16"/>
      <c r="C320" s="16"/>
      <c r="D320" s="15"/>
      <c r="E320" s="17"/>
      <c r="F320" s="15"/>
      <c r="G320" s="18"/>
      <c r="H320" s="15"/>
      <c r="I320" s="15"/>
      <c r="J320" s="15"/>
      <c r="K320" s="15"/>
      <c r="L320" s="15"/>
      <c r="M320" s="18"/>
      <c r="N320" s="18"/>
      <c r="O320" s="19"/>
      <c r="P320" s="20"/>
      <c r="R320" s="17"/>
      <c r="S320" s="22"/>
      <c r="T320" s="22"/>
    </row>
    <row r="321" spans="1:20" s="21" customFormat="1" ht="15.75">
      <c r="A321" s="23"/>
      <c r="B321" s="16"/>
      <c r="C321" s="16"/>
      <c r="D321" s="15"/>
      <c r="E321" s="17"/>
      <c r="F321" s="15"/>
      <c r="G321" s="18"/>
      <c r="H321" s="15"/>
      <c r="I321" s="15"/>
      <c r="J321" s="15"/>
      <c r="K321" s="15"/>
      <c r="L321" s="15"/>
      <c r="M321" s="18"/>
      <c r="N321" s="18"/>
      <c r="O321" s="19"/>
      <c r="P321" s="20"/>
      <c r="R321" s="17"/>
      <c r="S321" s="22"/>
      <c r="T321" s="22"/>
    </row>
    <row r="322" spans="1:20" s="21" customFormat="1" ht="15.75">
      <c r="A322" s="23"/>
      <c r="B322" s="16"/>
      <c r="C322" s="16"/>
      <c r="D322" s="15"/>
      <c r="E322" s="17"/>
      <c r="F322" s="15"/>
      <c r="G322" s="18"/>
      <c r="H322" s="15"/>
      <c r="I322" s="15"/>
      <c r="J322" s="15"/>
      <c r="K322" s="15"/>
      <c r="L322" s="15"/>
      <c r="M322" s="18"/>
      <c r="N322" s="18"/>
      <c r="O322" s="19"/>
      <c r="P322" s="20"/>
      <c r="R322" s="17"/>
      <c r="S322" s="22"/>
      <c r="T322" s="22"/>
    </row>
    <row r="323" spans="1:20" s="21" customFormat="1" ht="15.75">
      <c r="A323" s="23"/>
      <c r="B323" s="16"/>
      <c r="C323" s="16"/>
      <c r="D323" s="15"/>
      <c r="E323" s="17"/>
      <c r="F323" s="15"/>
      <c r="G323" s="18"/>
      <c r="H323" s="15"/>
      <c r="I323" s="15"/>
      <c r="J323" s="15"/>
      <c r="K323" s="15"/>
      <c r="L323" s="15"/>
      <c r="M323" s="18"/>
      <c r="N323" s="18"/>
      <c r="O323" s="19"/>
      <c r="P323" s="20"/>
      <c r="R323" s="17"/>
      <c r="S323" s="22"/>
      <c r="T323" s="22"/>
    </row>
    <row r="324" spans="1:20" s="21" customFormat="1" ht="15.75">
      <c r="A324" s="23"/>
      <c r="B324" s="16"/>
      <c r="C324" s="16"/>
      <c r="D324" s="15"/>
      <c r="E324" s="17"/>
      <c r="F324" s="15"/>
      <c r="G324" s="18"/>
      <c r="H324" s="15"/>
      <c r="I324" s="15"/>
      <c r="J324" s="15"/>
      <c r="K324" s="15"/>
      <c r="L324" s="15"/>
      <c r="M324" s="18"/>
      <c r="N324" s="18"/>
      <c r="O324" s="19"/>
      <c r="P324" s="20"/>
      <c r="R324" s="17"/>
      <c r="S324" s="22"/>
      <c r="T324" s="22"/>
    </row>
    <row r="325" spans="1:20" s="21" customFormat="1" ht="15.75">
      <c r="A325" s="23"/>
      <c r="B325" s="16"/>
      <c r="C325" s="16"/>
      <c r="D325" s="15"/>
      <c r="E325" s="17"/>
      <c r="F325" s="15"/>
      <c r="G325" s="18"/>
      <c r="H325" s="15"/>
      <c r="I325" s="15"/>
      <c r="J325" s="15"/>
      <c r="K325" s="15"/>
      <c r="L325" s="15"/>
      <c r="M325" s="18"/>
      <c r="N325" s="18"/>
      <c r="O325" s="19"/>
      <c r="P325" s="20"/>
      <c r="R325" s="17"/>
      <c r="S325" s="22"/>
      <c r="T325" s="22"/>
    </row>
    <row r="326" spans="1:20" s="21" customFormat="1" ht="15.75">
      <c r="A326" s="23"/>
      <c r="B326" s="16"/>
      <c r="C326" s="16"/>
      <c r="D326" s="15"/>
      <c r="E326" s="17"/>
      <c r="F326" s="15"/>
      <c r="G326" s="18"/>
      <c r="H326" s="15"/>
      <c r="I326" s="15"/>
      <c r="J326" s="15"/>
      <c r="K326" s="15"/>
      <c r="L326" s="15"/>
      <c r="M326" s="18"/>
      <c r="N326" s="18"/>
      <c r="O326" s="19"/>
      <c r="P326" s="20"/>
      <c r="R326" s="17"/>
      <c r="S326" s="22"/>
      <c r="T326" s="22"/>
    </row>
    <row r="327" spans="1:20" s="21" customFormat="1" ht="15.75">
      <c r="A327" s="23"/>
      <c r="B327" s="16"/>
      <c r="C327" s="16"/>
      <c r="D327" s="15"/>
      <c r="E327" s="17"/>
      <c r="F327" s="15"/>
      <c r="G327" s="18"/>
      <c r="H327" s="15"/>
      <c r="I327" s="15"/>
      <c r="J327" s="15"/>
      <c r="K327" s="15"/>
      <c r="L327" s="15"/>
      <c r="M327" s="18"/>
      <c r="N327" s="18"/>
      <c r="O327" s="19"/>
      <c r="P327" s="20"/>
      <c r="R327" s="17"/>
      <c r="S327" s="22"/>
      <c r="T327" s="22"/>
    </row>
    <row r="328" spans="1:20" s="21" customFormat="1" ht="15.75">
      <c r="A328" s="23"/>
      <c r="B328" s="16"/>
      <c r="C328" s="16"/>
      <c r="D328" s="15"/>
      <c r="E328" s="17"/>
      <c r="F328" s="15"/>
      <c r="G328" s="18"/>
      <c r="H328" s="15"/>
      <c r="I328" s="15"/>
      <c r="J328" s="15"/>
      <c r="K328" s="15"/>
      <c r="L328" s="15"/>
      <c r="M328" s="18"/>
      <c r="N328" s="18"/>
      <c r="O328" s="19"/>
      <c r="P328" s="20"/>
      <c r="R328" s="17"/>
      <c r="S328" s="22"/>
      <c r="T328" s="22"/>
    </row>
    <row r="329" spans="1:20" s="21" customFormat="1" ht="15.75">
      <c r="A329" s="23"/>
      <c r="B329" s="16"/>
      <c r="C329" s="16"/>
      <c r="D329" s="15"/>
      <c r="E329" s="17"/>
      <c r="F329" s="15"/>
      <c r="G329" s="18"/>
      <c r="H329" s="15"/>
      <c r="I329" s="15"/>
      <c r="J329" s="15"/>
      <c r="K329" s="15"/>
      <c r="L329" s="15"/>
      <c r="M329" s="18"/>
      <c r="N329" s="18"/>
      <c r="O329" s="19"/>
      <c r="P329" s="20"/>
      <c r="R329" s="17"/>
      <c r="S329" s="22"/>
      <c r="T329" s="22"/>
    </row>
    <row r="330" spans="1:20" s="21" customFormat="1" ht="15.75">
      <c r="A330" s="23"/>
      <c r="B330" s="16"/>
      <c r="C330" s="16"/>
      <c r="D330" s="15"/>
      <c r="E330" s="17"/>
      <c r="F330" s="15"/>
      <c r="G330" s="18"/>
      <c r="H330" s="15"/>
      <c r="I330" s="15"/>
      <c r="J330" s="15"/>
      <c r="K330" s="15"/>
      <c r="L330" s="15"/>
      <c r="M330" s="18"/>
      <c r="N330" s="18"/>
      <c r="O330" s="19"/>
      <c r="P330" s="20"/>
      <c r="R330" s="17"/>
      <c r="S330" s="22"/>
      <c r="T330" s="22"/>
    </row>
    <row r="331" spans="1:20" s="21" customFormat="1" ht="15.75">
      <c r="A331" s="23"/>
      <c r="B331" s="16"/>
      <c r="C331" s="16"/>
      <c r="D331" s="15"/>
      <c r="E331" s="17"/>
      <c r="F331" s="15"/>
      <c r="G331" s="18"/>
      <c r="H331" s="15"/>
      <c r="I331" s="15"/>
      <c r="J331" s="15"/>
      <c r="K331" s="15"/>
      <c r="L331" s="15"/>
      <c r="M331" s="18"/>
      <c r="N331" s="18"/>
      <c r="O331" s="19"/>
      <c r="P331" s="20"/>
      <c r="R331" s="17"/>
      <c r="S331" s="22"/>
      <c r="T331" s="22"/>
    </row>
    <row r="332" spans="1:20" s="21" customFormat="1" ht="15.75">
      <c r="A332" s="23"/>
      <c r="B332" s="16"/>
      <c r="C332" s="16"/>
      <c r="D332" s="15"/>
      <c r="E332" s="17"/>
      <c r="F332" s="15"/>
      <c r="G332" s="18"/>
      <c r="H332" s="15"/>
      <c r="I332" s="15"/>
      <c r="J332" s="15"/>
      <c r="K332" s="15"/>
      <c r="L332" s="15"/>
      <c r="M332" s="18"/>
      <c r="N332" s="18"/>
      <c r="O332" s="19"/>
      <c r="P332" s="20"/>
      <c r="R332" s="17"/>
      <c r="S332" s="22"/>
      <c r="T332" s="22"/>
    </row>
    <row r="333" spans="1:20" s="21" customFormat="1" ht="15.75">
      <c r="A333" s="23"/>
      <c r="B333" s="16"/>
      <c r="C333" s="16"/>
      <c r="D333" s="15"/>
      <c r="E333" s="17"/>
      <c r="F333" s="15"/>
      <c r="G333" s="18"/>
      <c r="H333" s="15"/>
      <c r="I333" s="15"/>
      <c r="J333" s="15"/>
      <c r="K333" s="15"/>
      <c r="L333" s="15"/>
      <c r="M333" s="18"/>
      <c r="N333" s="18"/>
      <c r="O333" s="19"/>
      <c r="P333" s="20"/>
      <c r="R333" s="17"/>
      <c r="S333" s="22"/>
      <c r="T333" s="22"/>
    </row>
    <row r="334" spans="1:20" s="21" customFormat="1" ht="15.75">
      <c r="A334" s="23"/>
      <c r="B334" s="16"/>
      <c r="C334" s="16"/>
      <c r="D334" s="15"/>
      <c r="E334" s="17"/>
      <c r="F334" s="15"/>
      <c r="G334" s="18"/>
      <c r="H334" s="15"/>
      <c r="I334" s="15"/>
      <c r="J334" s="15"/>
      <c r="K334" s="15"/>
      <c r="L334" s="15"/>
      <c r="M334" s="18"/>
      <c r="N334" s="18"/>
      <c r="O334" s="19"/>
      <c r="P334" s="20"/>
      <c r="R334" s="17"/>
      <c r="S334" s="22"/>
      <c r="T334" s="22"/>
    </row>
    <row r="335" spans="1:20" s="21" customFormat="1" ht="15.75">
      <c r="A335" s="23"/>
      <c r="B335" s="16"/>
      <c r="C335" s="16"/>
      <c r="D335" s="15"/>
      <c r="E335" s="17"/>
      <c r="F335" s="15"/>
      <c r="G335" s="18"/>
      <c r="H335" s="15"/>
      <c r="I335" s="15"/>
      <c r="J335" s="15"/>
      <c r="K335" s="15"/>
      <c r="L335" s="15"/>
      <c r="M335" s="18"/>
      <c r="N335" s="18"/>
      <c r="O335" s="19"/>
      <c r="P335" s="20"/>
      <c r="R335" s="17"/>
      <c r="S335" s="22"/>
      <c r="T335" s="22"/>
    </row>
    <row r="336" spans="1:20" s="21" customFormat="1" ht="15.75">
      <c r="A336" s="23"/>
      <c r="B336" s="16"/>
      <c r="C336" s="16"/>
      <c r="D336" s="15"/>
      <c r="E336" s="17"/>
      <c r="F336" s="15"/>
      <c r="G336" s="18"/>
      <c r="H336" s="15"/>
      <c r="I336" s="15"/>
      <c r="J336" s="15"/>
      <c r="K336" s="15"/>
      <c r="L336" s="15"/>
      <c r="M336" s="18"/>
      <c r="N336" s="18"/>
      <c r="O336" s="19"/>
      <c r="P336" s="20"/>
      <c r="R336" s="17"/>
      <c r="S336" s="22"/>
      <c r="T336" s="22"/>
    </row>
    <row r="337" spans="1:20" s="21" customFormat="1" ht="15.75">
      <c r="A337" s="23"/>
      <c r="B337" s="16"/>
      <c r="C337" s="16"/>
      <c r="D337" s="15"/>
      <c r="E337" s="17"/>
      <c r="F337" s="15"/>
      <c r="G337" s="18"/>
      <c r="H337" s="15"/>
      <c r="I337" s="15"/>
      <c r="J337" s="15"/>
      <c r="K337" s="15"/>
      <c r="L337" s="15"/>
      <c r="M337" s="18"/>
      <c r="N337" s="18"/>
      <c r="O337" s="19"/>
      <c r="P337" s="20"/>
      <c r="R337" s="17"/>
      <c r="S337" s="22"/>
      <c r="T337" s="22"/>
    </row>
    <row r="338" spans="1:20" s="21" customFormat="1" ht="15.75">
      <c r="A338" s="23"/>
      <c r="B338" s="16"/>
      <c r="C338" s="16"/>
      <c r="D338" s="15"/>
      <c r="E338" s="17"/>
      <c r="F338" s="15"/>
      <c r="G338" s="18"/>
      <c r="H338" s="15"/>
      <c r="I338" s="15"/>
      <c r="J338" s="15"/>
      <c r="K338" s="15"/>
      <c r="L338" s="15"/>
      <c r="M338" s="18"/>
      <c r="N338" s="18"/>
      <c r="O338" s="19"/>
      <c r="P338" s="20"/>
      <c r="R338" s="17"/>
      <c r="S338" s="22"/>
      <c r="T338" s="22"/>
    </row>
    <row r="339" spans="1:20" s="21" customFormat="1" ht="15.75">
      <c r="A339" s="23"/>
      <c r="B339" s="16"/>
      <c r="C339" s="16"/>
      <c r="D339" s="15"/>
      <c r="E339" s="17"/>
      <c r="F339" s="15"/>
      <c r="G339" s="18"/>
      <c r="H339" s="15"/>
      <c r="I339" s="15"/>
      <c r="J339" s="15"/>
      <c r="K339" s="15"/>
      <c r="L339" s="15"/>
      <c r="M339" s="18"/>
      <c r="N339" s="18"/>
      <c r="O339" s="19"/>
      <c r="P339" s="20"/>
      <c r="R339" s="17"/>
      <c r="S339" s="22"/>
      <c r="T339" s="22"/>
    </row>
    <row r="340" spans="1:20" s="21" customFormat="1" ht="15.75">
      <c r="A340" s="23"/>
      <c r="B340" s="16"/>
      <c r="C340" s="16"/>
      <c r="D340" s="15"/>
      <c r="E340" s="17"/>
      <c r="F340" s="15"/>
      <c r="G340" s="18"/>
      <c r="H340" s="15"/>
      <c r="I340" s="15"/>
      <c r="J340" s="15"/>
      <c r="K340" s="15"/>
      <c r="L340" s="15"/>
      <c r="M340" s="18"/>
      <c r="N340" s="18"/>
      <c r="O340" s="19"/>
      <c r="P340" s="20"/>
      <c r="R340" s="17"/>
      <c r="S340" s="22"/>
      <c r="T340" s="22"/>
    </row>
    <row r="341" spans="1:20" s="21" customFormat="1" ht="15.75">
      <c r="A341" s="23"/>
      <c r="B341" s="16"/>
      <c r="C341" s="16"/>
      <c r="D341" s="15"/>
      <c r="E341" s="17"/>
      <c r="F341" s="15"/>
      <c r="G341" s="18"/>
      <c r="H341" s="15"/>
      <c r="I341" s="15"/>
      <c r="J341" s="15"/>
      <c r="K341" s="15"/>
      <c r="L341" s="15"/>
      <c r="M341" s="18"/>
      <c r="N341" s="18"/>
      <c r="O341" s="19"/>
      <c r="P341" s="20"/>
      <c r="R341" s="17"/>
      <c r="S341" s="22"/>
      <c r="T341" s="22"/>
    </row>
    <row r="342" spans="1:20" s="21" customFormat="1" ht="15.75">
      <c r="A342" s="23"/>
      <c r="B342" s="16"/>
      <c r="C342" s="16"/>
      <c r="D342" s="15"/>
      <c r="E342" s="17"/>
      <c r="F342" s="15"/>
      <c r="G342" s="18"/>
      <c r="H342" s="15"/>
      <c r="I342" s="15"/>
      <c r="J342" s="15"/>
      <c r="K342" s="15"/>
      <c r="L342" s="15"/>
      <c r="M342" s="18"/>
      <c r="N342" s="18"/>
      <c r="O342" s="19"/>
      <c r="P342" s="20"/>
      <c r="R342" s="17"/>
      <c r="S342" s="22"/>
      <c r="T342" s="22"/>
    </row>
    <row r="343" spans="1:20" s="21" customFormat="1" ht="15.75">
      <c r="A343" s="23"/>
      <c r="B343" s="16"/>
      <c r="C343" s="16"/>
      <c r="D343" s="15"/>
      <c r="E343" s="17"/>
      <c r="F343" s="15"/>
      <c r="G343" s="18"/>
      <c r="H343" s="15"/>
      <c r="I343" s="15"/>
      <c r="J343" s="15"/>
      <c r="K343" s="15"/>
      <c r="L343" s="15"/>
      <c r="M343" s="18"/>
      <c r="N343" s="18"/>
      <c r="O343" s="19"/>
      <c r="P343" s="20"/>
      <c r="R343" s="17"/>
      <c r="S343" s="22"/>
      <c r="T343" s="22"/>
    </row>
    <row r="344" spans="1:20" s="21" customFormat="1" ht="15.75">
      <c r="A344" s="23"/>
      <c r="B344" s="16"/>
      <c r="C344" s="16"/>
      <c r="D344" s="15"/>
      <c r="E344" s="17"/>
      <c r="F344" s="15"/>
      <c r="G344" s="18"/>
      <c r="H344" s="15"/>
      <c r="I344" s="15"/>
      <c r="J344" s="15"/>
      <c r="K344" s="15"/>
      <c r="L344" s="15"/>
      <c r="M344" s="18"/>
      <c r="N344" s="18"/>
      <c r="O344" s="19"/>
      <c r="P344" s="20"/>
      <c r="R344" s="17"/>
      <c r="S344" s="22"/>
      <c r="T344" s="22"/>
    </row>
    <row r="345" spans="1:20" s="21" customFormat="1" ht="15.75">
      <c r="A345" s="23"/>
      <c r="B345" s="16"/>
      <c r="C345" s="16"/>
      <c r="D345" s="15"/>
      <c r="E345" s="17"/>
      <c r="F345" s="15"/>
      <c r="G345" s="18"/>
      <c r="H345" s="15"/>
      <c r="I345" s="15"/>
      <c r="J345" s="15"/>
      <c r="K345" s="15"/>
      <c r="L345" s="15"/>
      <c r="M345" s="18"/>
      <c r="N345" s="18"/>
      <c r="O345" s="19"/>
      <c r="P345" s="20"/>
      <c r="R345" s="17"/>
      <c r="S345" s="22"/>
      <c r="T345" s="22"/>
    </row>
    <row r="346" spans="1:20" s="21" customFormat="1" ht="15.75">
      <c r="A346" s="23"/>
      <c r="B346" s="16"/>
      <c r="C346" s="16"/>
      <c r="D346" s="15"/>
      <c r="E346" s="17"/>
      <c r="F346" s="15"/>
      <c r="G346" s="18"/>
      <c r="H346" s="15"/>
      <c r="I346" s="15"/>
      <c r="J346" s="15"/>
      <c r="K346" s="15"/>
      <c r="L346" s="15"/>
      <c r="M346" s="18"/>
      <c r="N346" s="18"/>
      <c r="O346" s="19"/>
      <c r="P346" s="20"/>
      <c r="R346" s="17"/>
      <c r="S346" s="22"/>
      <c r="T346" s="22"/>
    </row>
    <row r="347" spans="1:20" s="21" customFormat="1" ht="15.75">
      <c r="A347" s="23"/>
      <c r="B347" s="16"/>
      <c r="C347" s="16"/>
      <c r="D347" s="15"/>
      <c r="E347" s="17"/>
      <c r="F347" s="15"/>
      <c r="G347" s="18"/>
      <c r="H347" s="15"/>
      <c r="I347" s="15"/>
      <c r="J347" s="15"/>
      <c r="K347" s="15"/>
      <c r="L347" s="15"/>
      <c r="M347" s="18"/>
      <c r="N347" s="18"/>
      <c r="O347" s="19"/>
      <c r="P347" s="20"/>
      <c r="R347" s="17"/>
      <c r="S347" s="22"/>
      <c r="T347" s="22"/>
    </row>
    <row r="348" spans="1:20" s="21" customFormat="1" ht="15.75">
      <c r="A348" s="23"/>
      <c r="B348" s="16"/>
      <c r="C348" s="16"/>
      <c r="D348" s="15"/>
      <c r="E348" s="17"/>
      <c r="F348" s="15"/>
      <c r="G348" s="18"/>
      <c r="H348" s="15"/>
      <c r="I348" s="15"/>
      <c r="J348" s="15"/>
      <c r="K348" s="15"/>
      <c r="L348" s="15"/>
      <c r="M348" s="18"/>
      <c r="N348" s="18"/>
      <c r="O348" s="19"/>
      <c r="P348" s="20"/>
      <c r="R348" s="17"/>
      <c r="S348" s="22"/>
      <c r="T348" s="22"/>
    </row>
    <row r="349" spans="1:20" s="21" customFormat="1" ht="15.75">
      <c r="A349" s="23"/>
      <c r="B349" s="16"/>
      <c r="C349" s="16"/>
      <c r="D349" s="15"/>
      <c r="E349" s="17"/>
      <c r="F349" s="15"/>
      <c r="G349" s="18"/>
      <c r="H349" s="15"/>
      <c r="I349" s="15"/>
      <c r="J349" s="15"/>
      <c r="K349" s="15"/>
      <c r="L349" s="15"/>
      <c r="M349" s="18"/>
      <c r="N349" s="18"/>
      <c r="O349" s="19"/>
      <c r="P349" s="20"/>
      <c r="R349" s="17"/>
      <c r="S349" s="22"/>
      <c r="T349" s="22"/>
    </row>
    <row r="350" spans="1:20" s="21" customFormat="1" ht="15.75">
      <c r="A350" s="23"/>
      <c r="B350" s="16"/>
      <c r="C350" s="16"/>
      <c r="D350" s="15"/>
      <c r="E350" s="17"/>
      <c r="F350" s="15"/>
      <c r="G350" s="18"/>
      <c r="H350" s="15"/>
      <c r="I350" s="15"/>
      <c r="J350" s="15"/>
      <c r="K350" s="15"/>
      <c r="L350" s="15"/>
      <c r="M350" s="18"/>
      <c r="N350" s="18"/>
      <c r="O350" s="19"/>
      <c r="P350" s="20"/>
      <c r="R350" s="17"/>
      <c r="S350" s="22"/>
      <c r="T350" s="22"/>
    </row>
    <row r="351" spans="1:20" s="21" customFormat="1" ht="15.75">
      <c r="A351" s="23"/>
      <c r="B351" s="16"/>
      <c r="C351" s="16"/>
      <c r="D351" s="15"/>
      <c r="E351" s="17"/>
      <c r="F351" s="15"/>
      <c r="G351" s="18"/>
      <c r="H351" s="15"/>
      <c r="I351" s="15"/>
      <c r="J351" s="15"/>
      <c r="K351" s="15"/>
      <c r="L351" s="15"/>
      <c r="M351" s="18"/>
      <c r="N351" s="18"/>
      <c r="O351" s="19"/>
      <c r="P351" s="20"/>
      <c r="R351" s="17"/>
      <c r="S351" s="22"/>
      <c r="T351" s="22"/>
    </row>
    <row r="352" spans="1:20" s="21" customFormat="1" ht="15.75">
      <c r="A352" s="23"/>
      <c r="B352" s="16"/>
      <c r="C352" s="16"/>
      <c r="D352" s="15"/>
      <c r="E352" s="17"/>
      <c r="F352" s="15"/>
      <c r="G352" s="18"/>
      <c r="H352" s="15"/>
      <c r="I352" s="15"/>
      <c r="J352" s="15"/>
      <c r="K352" s="15"/>
      <c r="L352" s="15"/>
      <c r="M352" s="18"/>
      <c r="N352" s="18"/>
      <c r="O352" s="19"/>
      <c r="P352" s="20"/>
      <c r="R352" s="17"/>
      <c r="S352" s="22"/>
      <c r="T352" s="22"/>
    </row>
    <row r="353" spans="1:20" s="21" customFormat="1" ht="15.75">
      <c r="A353" s="23"/>
      <c r="B353" s="16"/>
      <c r="C353" s="16"/>
      <c r="D353" s="15"/>
      <c r="E353" s="17"/>
      <c r="F353" s="15"/>
      <c r="G353" s="18"/>
      <c r="H353" s="15"/>
      <c r="I353" s="15"/>
      <c r="J353" s="15"/>
      <c r="K353" s="15"/>
      <c r="L353" s="15"/>
      <c r="M353" s="18"/>
      <c r="N353" s="18"/>
      <c r="O353" s="19"/>
      <c r="P353" s="20"/>
      <c r="R353" s="17"/>
      <c r="S353" s="22"/>
      <c r="T353" s="22"/>
    </row>
    <row r="354" spans="1:20" s="21" customFormat="1" ht="15.75">
      <c r="A354" s="23"/>
      <c r="B354" s="16"/>
      <c r="C354" s="16"/>
      <c r="D354" s="15"/>
      <c r="E354" s="17"/>
      <c r="F354" s="15"/>
      <c r="G354" s="18"/>
      <c r="H354" s="15"/>
      <c r="I354" s="15"/>
      <c r="J354" s="15"/>
      <c r="K354" s="15"/>
      <c r="L354" s="15"/>
      <c r="M354" s="18"/>
      <c r="N354" s="18"/>
      <c r="O354" s="19"/>
      <c r="P354" s="20"/>
      <c r="R354" s="17"/>
      <c r="S354" s="22"/>
      <c r="T354" s="22"/>
    </row>
    <row r="355" spans="1:20" s="21" customFormat="1" ht="15.75">
      <c r="A355" s="23"/>
      <c r="B355" s="16"/>
      <c r="C355" s="16"/>
      <c r="D355" s="15"/>
      <c r="E355" s="17"/>
      <c r="F355" s="15"/>
      <c r="G355" s="18"/>
      <c r="H355" s="15"/>
      <c r="I355" s="15"/>
      <c r="J355" s="15"/>
      <c r="K355" s="15"/>
      <c r="L355" s="15"/>
      <c r="M355" s="18"/>
      <c r="N355" s="18"/>
      <c r="O355" s="19"/>
      <c r="P355" s="20"/>
      <c r="R355" s="17"/>
      <c r="S355" s="22"/>
      <c r="T355" s="22"/>
    </row>
    <row r="356" spans="1:20" s="21" customFormat="1" ht="15.75">
      <c r="A356" s="23"/>
      <c r="B356" s="16"/>
      <c r="C356" s="16"/>
      <c r="D356" s="15"/>
      <c r="E356" s="17"/>
      <c r="F356" s="15"/>
      <c r="G356" s="18"/>
      <c r="H356" s="15"/>
      <c r="I356" s="15"/>
      <c r="J356" s="15"/>
      <c r="K356" s="15"/>
      <c r="L356" s="15"/>
      <c r="M356" s="18"/>
      <c r="N356" s="18"/>
      <c r="O356" s="19"/>
      <c r="P356" s="20"/>
      <c r="R356" s="17"/>
      <c r="S356" s="22"/>
      <c r="T356" s="22"/>
    </row>
    <row r="357" spans="1:20" s="21" customFormat="1" ht="15.75">
      <c r="A357" s="23"/>
      <c r="B357" s="16"/>
      <c r="C357" s="16"/>
      <c r="D357" s="15"/>
      <c r="E357" s="17"/>
      <c r="F357" s="15"/>
      <c r="G357" s="18"/>
      <c r="H357" s="15"/>
      <c r="I357" s="15"/>
      <c r="J357" s="15"/>
      <c r="K357" s="15"/>
      <c r="L357" s="15"/>
      <c r="M357" s="18"/>
      <c r="N357" s="18"/>
      <c r="O357" s="19"/>
      <c r="P357" s="20"/>
      <c r="R357" s="17"/>
      <c r="S357" s="22"/>
      <c r="T357" s="22"/>
    </row>
    <row r="358" spans="1:20" s="21" customFormat="1" ht="15.75">
      <c r="A358" s="23"/>
      <c r="B358" s="16"/>
      <c r="C358" s="16"/>
      <c r="D358" s="15"/>
      <c r="E358" s="17"/>
      <c r="F358" s="15"/>
      <c r="G358" s="18"/>
      <c r="H358" s="15"/>
      <c r="I358" s="15"/>
      <c r="J358" s="15"/>
      <c r="K358" s="15"/>
      <c r="L358" s="15"/>
      <c r="M358" s="18"/>
      <c r="N358" s="18"/>
      <c r="O358" s="19"/>
      <c r="P358" s="20"/>
      <c r="R358" s="17"/>
      <c r="S358" s="22"/>
      <c r="T358" s="22"/>
    </row>
    <row r="359" spans="1:20" s="21" customFormat="1" ht="15.75">
      <c r="A359" s="23"/>
      <c r="B359" s="16"/>
      <c r="C359" s="16"/>
      <c r="D359" s="15"/>
      <c r="E359" s="17"/>
      <c r="F359" s="15"/>
      <c r="G359" s="18"/>
      <c r="H359" s="15"/>
      <c r="I359" s="15"/>
      <c r="J359" s="15"/>
      <c r="K359" s="15"/>
      <c r="L359" s="15"/>
      <c r="M359" s="18"/>
      <c r="N359" s="18"/>
      <c r="O359" s="19"/>
      <c r="P359" s="20"/>
      <c r="R359" s="17"/>
      <c r="S359" s="22"/>
      <c r="T359" s="22"/>
    </row>
    <row r="360" spans="1:20" s="21" customFormat="1" ht="15.75">
      <c r="A360" s="23"/>
      <c r="B360" s="16"/>
      <c r="C360" s="16"/>
      <c r="D360" s="15"/>
      <c r="E360" s="17"/>
      <c r="F360" s="15"/>
      <c r="G360" s="18"/>
      <c r="H360" s="15"/>
      <c r="I360" s="15"/>
      <c r="J360" s="15"/>
      <c r="K360" s="15"/>
      <c r="L360" s="15"/>
      <c r="M360" s="18"/>
      <c r="N360" s="18"/>
      <c r="O360" s="19"/>
      <c r="P360" s="20"/>
      <c r="R360" s="17"/>
      <c r="S360" s="22"/>
      <c r="T360" s="22"/>
    </row>
    <row r="361" spans="1:20" s="21" customFormat="1" ht="15.75">
      <c r="A361" s="23"/>
      <c r="B361" s="16"/>
      <c r="C361" s="16"/>
      <c r="D361" s="15"/>
      <c r="E361" s="17"/>
      <c r="F361" s="15"/>
      <c r="G361" s="18"/>
      <c r="H361" s="15"/>
      <c r="I361" s="15"/>
      <c r="J361" s="15"/>
      <c r="K361" s="15"/>
      <c r="L361" s="15"/>
      <c r="M361" s="18"/>
      <c r="N361" s="18"/>
      <c r="O361" s="19"/>
      <c r="P361" s="20"/>
      <c r="R361" s="17"/>
      <c r="S361" s="22"/>
      <c r="T361" s="22"/>
    </row>
    <row r="362" spans="1:20" s="21" customFormat="1" ht="15.75">
      <c r="A362" s="23"/>
      <c r="B362" s="16"/>
      <c r="C362" s="16"/>
      <c r="D362" s="15"/>
      <c r="E362" s="17"/>
      <c r="F362" s="15"/>
      <c r="G362" s="18"/>
      <c r="H362" s="15"/>
      <c r="I362" s="15"/>
      <c r="J362" s="15"/>
      <c r="K362" s="15"/>
      <c r="L362" s="15"/>
      <c r="M362" s="18"/>
      <c r="N362" s="18"/>
      <c r="O362" s="19"/>
      <c r="P362" s="20"/>
      <c r="R362" s="17"/>
      <c r="S362" s="22"/>
      <c r="T362" s="22"/>
    </row>
    <row r="363" spans="1:20" s="21" customFormat="1" ht="15.75">
      <c r="A363" s="23"/>
      <c r="B363" s="16"/>
      <c r="C363" s="16"/>
      <c r="D363" s="15"/>
      <c r="E363" s="17"/>
      <c r="F363" s="15"/>
      <c r="G363" s="18"/>
      <c r="H363" s="15"/>
      <c r="I363" s="15"/>
      <c r="J363" s="15"/>
      <c r="K363" s="15"/>
      <c r="L363" s="15"/>
      <c r="M363" s="18"/>
      <c r="N363" s="18"/>
      <c r="O363" s="19"/>
      <c r="P363" s="20"/>
      <c r="R363" s="17"/>
      <c r="S363" s="22"/>
      <c r="T363" s="22"/>
    </row>
    <row r="364" spans="1:20" s="21" customFormat="1" ht="15.75">
      <c r="A364" s="23"/>
      <c r="B364" s="16"/>
      <c r="C364" s="16"/>
      <c r="D364" s="15"/>
      <c r="E364" s="17"/>
      <c r="F364" s="15"/>
      <c r="G364" s="18"/>
      <c r="H364" s="15"/>
      <c r="I364" s="15"/>
      <c r="J364" s="15"/>
      <c r="K364" s="15"/>
      <c r="L364" s="15"/>
      <c r="M364" s="18"/>
      <c r="N364" s="18"/>
      <c r="O364" s="19"/>
      <c r="P364" s="20"/>
      <c r="R364" s="17"/>
      <c r="S364" s="22"/>
      <c r="T364" s="22"/>
    </row>
    <row r="365" spans="1:20" s="21" customFormat="1" ht="15.75">
      <c r="A365" s="23"/>
      <c r="B365" s="16"/>
      <c r="C365" s="16"/>
      <c r="D365" s="15"/>
      <c r="E365" s="17"/>
      <c r="F365" s="15"/>
      <c r="G365" s="18"/>
      <c r="H365" s="15"/>
      <c r="I365" s="15"/>
      <c r="J365" s="15"/>
      <c r="K365" s="15"/>
      <c r="L365" s="15"/>
      <c r="M365" s="18"/>
      <c r="N365" s="18"/>
      <c r="O365" s="19"/>
      <c r="P365" s="20"/>
      <c r="R365" s="17"/>
      <c r="S365" s="22"/>
      <c r="T365" s="22"/>
    </row>
    <row r="366" spans="1:20" s="21" customFormat="1" ht="15.75">
      <c r="A366" s="23"/>
      <c r="B366" s="16"/>
      <c r="C366" s="16"/>
      <c r="D366" s="15"/>
      <c r="E366" s="17"/>
      <c r="F366" s="15"/>
      <c r="G366" s="18"/>
      <c r="H366" s="15"/>
      <c r="I366" s="15"/>
      <c r="J366" s="15"/>
      <c r="K366" s="15"/>
      <c r="L366" s="15"/>
      <c r="M366" s="18"/>
      <c r="N366" s="18"/>
      <c r="O366" s="19"/>
      <c r="P366" s="20"/>
      <c r="R366" s="17"/>
      <c r="S366" s="22"/>
      <c r="T366" s="22"/>
    </row>
    <row r="367" spans="1:20" s="21" customFormat="1" ht="15.75">
      <c r="A367" s="23"/>
      <c r="B367" s="16"/>
      <c r="C367" s="16"/>
      <c r="D367" s="15"/>
      <c r="E367" s="17"/>
      <c r="F367" s="15"/>
      <c r="G367" s="18"/>
      <c r="H367" s="15"/>
      <c r="I367" s="15"/>
      <c r="J367" s="15"/>
      <c r="K367" s="15"/>
      <c r="L367" s="15"/>
      <c r="M367" s="18"/>
      <c r="N367" s="18"/>
      <c r="O367" s="19"/>
      <c r="P367" s="20"/>
      <c r="R367" s="17"/>
      <c r="S367" s="22"/>
      <c r="T367" s="22"/>
    </row>
    <row r="368" spans="1:20" s="21" customFormat="1" ht="15.75">
      <c r="A368" s="23"/>
      <c r="B368" s="16"/>
      <c r="C368" s="16"/>
      <c r="D368" s="15"/>
      <c r="E368" s="17"/>
      <c r="F368" s="15"/>
      <c r="G368" s="18"/>
      <c r="H368" s="15"/>
      <c r="I368" s="15"/>
      <c r="J368" s="15"/>
      <c r="K368" s="15"/>
      <c r="L368" s="15"/>
      <c r="M368" s="18"/>
      <c r="N368" s="18"/>
      <c r="O368" s="19"/>
      <c r="P368" s="20"/>
      <c r="R368" s="17"/>
      <c r="S368" s="22"/>
      <c r="T368" s="22"/>
    </row>
    <row r="369" spans="1:20" s="21" customFormat="1" ht="15.75">
      <c r="A369" s="23"/>
      <c r="B369" s="16"/>
      <c r="C369" s="16"/>
      <c r="D369" s="15"/>
      <c r="E369" s="17"/>
      <c r="F369" s="15"/>
      <c r="G369" s="18"/>
      <c r="H369" s="15"/>
      <c r="I369" s="15"/>
      <c r="J369" s="15"/>
      <c r="K369" s="15"/>
      <c r="L369" s="15"/>
      <c r="M369" s="18"/>
      <c r="N369" s="18"/>
      <c r="O369" s="19"/>
      <c r="P369" s="20"/>
      <c r="R369" s="17"/>
      <c r="S369" s="22"/>
      <c r="T369" s="22"/>
    </row>
    <row r="370" spans="1:20" s="21" customFormat="1" ht="15.75">
      <c r="A370" s="23"/>
      <c r="B370" s="16"/>
      <c r="C370" s="16"/>
      <c r="D370" s="15"/>
      <c r="E370" s="17"/>
      <c r="F370" s="15"/>
      <c r="G370" s="18"/>
      <c r="H370" s="15"/>
      <c r="I370" s="15"/>
      <c r="J370" s="15"/>
      <c r="K370" s="15"/>
      <c r="L370" s="15"/>
      <c r="M370" s="18"/>
      <c r="N370" s="18"/>
      <c r="O370" s="19"/>
      <c r="P370" s="20"/>
      <c r="R370" s="17"/>
      <c r="S370" s="22"/>
      <c r="T370" s="22"/>
    </row>
    <row r="371" spans="1:20" s="21" customFormat="1" ht="15.75">
      <c r="A371" s="23"/>
      <c r="B371" s="16"/>
      <c r="C371" s="16"/>
      <c r="D371" s="15"/>
      <c r="E371" s="17"/>
      <c r="F371" s="15"/>
      <c r="G371" s="18"/>
      <c r="H371" s="15"/>
      <c r="I371" s="15"/>
      <c r="J371" s="15"/>
      <c r="K371" s="15"/>
      <c r="L371" s="15"/>
      <c r="M371" s="18"/>
      <c r="N371" s="18"/>
      <c r="O371" s="19"/>
      <c r="P371" s="20"/>
      <c r="R371" s="17"/>
      <c r="S371" s="22"/>
      <c r="T371" s="22"/>
    </row>
    <row r="372" spans="1:20" s="21" customFormat="1" ht="15.75">
      <c r="A372" s="23"/>
      <c r="B372" s="16"/>
      <c r="C372" s="16"/>
      <c r="D372" s="15"/>
      <c r="E372" s="17"/>
      <c r="F372" s="15"/>
      <c r="G372" s="18"/>
      <c r="H372" s="15"/>
      <c r="I372" s="15"/>
      <c r="J372" s="15"/>
      <c r="K372" s="15"/>
      <c r="L372" s="15"/>
      <c r="M372" s="18"/>
      <c r="N372" s="18"/>
      <c r="O372" s="19"/>
      <c r="P372" s="20"/>
      <c r="R372" s="17"/>
      <c r="S372" s="22"/>
      <c r="T372" s="22"/>
    </row>
    <row r="373" spans="1:20" s="21" customFormat="1" ht="15.75">
      <c r="A373" s="23"/>
      <c r="B373" s="16"/>
      <c r="C373" s="16"/>
      <c r="D373" s="15"/>
      <c r="E373" s="17"/>
      <c r="F373" s="15"/>
      <c r="G373" s="18"/>
      <c r="H373" s="15"/>
      <c r="I373" s="15"/>
      <c r="J373" s="15"/>
      <c r="K373" s="15"/>
      <c r="L373" s="15"/>
      <c r="M373" s="18"/>
      <c r="N373" s="18"/>
      <c r="O373" s="19"/>
      <c r="P373" s="20"/>
      <c r="R373" s="17"/>
      <c r="S373" s="22"/>
      <c r="T373" s="22"/>
    </row>
    <row r="374" spans="1:20" s="21" customFormat="1" ht="15.75">
      <c r="A374" s="23"/>
      <c r="B374" s="16"/>
      <c r="C374" s="16"/>
      <c r="D374" s="15"/>
      <c r="E374" s="17"/>
      <c r="F374" s="15"/>
      <c r="G374" s="18"/>
      <c r="H374" s="15"/>
      <c r="I374" s="15"/>
      <c r="J374" s="15"/>
      <c r="K374" s="15"/>
      <c r="L374" s="15"/>
      <c r="M374" s="18"/>
      <c r="N374" s="18"/>
      <c r="O374" s="19"/>
      <c r="P374" s="20"/>
      <c r="R374" s="17"/>
      <c r="S374" s="22"/>
      <c r="T374" s="22"/>
    </row>
    <row r="375" spans="1:20" s="21" customFormat="1" ht="15.75">
      <c r="A375" s="23"/>
      <c r="B375" s="16"/>
      <c r="C375" s="16"/>
      <c r="D375" s="15"/>
      <c r="E375" s="17"/>
      <c r="F375" s="15"/>
      <c r="G375" s="18"/>
      <c r="H375" s="15"/>
      <c r="I375" s="15"/>
      <c r="J375" s="15"/>
      <c r="K375" s="15"/>
      <c r="L375" s="15"/>
      <c r="M375" s="18"/>
      <c r="N375" s="18"/>
      <c r="O375" s="19"/>
      <c r="P375" s="20"/>
      <c r="R375" s="17"/>
      <c r="S375" s="22"/>
      <c r="T375" s="22"/>
    </row>
    <row r="376" spans="1:20" s="21" customFormat="1" ht="15.75">
      <c r="A376" s="23"/>
      <c r="B376" s="16"/>
      <c r="C376" s="16"/>
      <c r="D376" s="15"/>
      <c r="E376" s="17"/>
      <c r="F376" s="15"/>
      <c r="G376" s="18"/>
      <c r="H376" s="15"/>
      <c r="I376" s="15"/>
      <c r="J376" s="15"/>
      <c r="K376" s="15"/>
      <c r="L376" s="15"/>
      <c r="M376" s="18"/>
      <c r="N376" s="18"/>
      <c r="O376" s="19"/>
      <c r="P376" s="20"/>
      <c r="R376" s="17"/>
      <c r="S376" s="22"/>
      <c r="T376" s="22"/>
    </row>
    <row r="377" spans="1:20" s="21" customFormat="1" ht="15.75">
      <c r="A377" s="23"/>
      <c r="B377" s="16"/>
      <c r="C377" s="16"/>
      <c r="D377" s="15"/>
      <c r="E377" s="17"/>
      <c r="F377" s="15"/>
      <c r="G377" s="18"/>
      <c r="H377" s="15"/>
      <c r="I377" s="15"/>
      <c r="J377" s="15"/>
      <c r="K377" s="15"/>
      <c r="L377" s="15"/>
      <c r="M377" s="18"/>
      <c r="N377" s="18"/>
      <c r="O377" s="19"/>
      <c r="P377" s="20"/>
      <c r="R377" s="17"/>
      <c r="S377" s="22"/>
      <c r="T377" s="22"/>
    </row>
    <row r="378" spans="1:20" s="21" customFormat="1" ht="15.75">
      <c r="A378" s="23"/>
      <c r="B378" s="16"/>
      <c r="C378" s="16"/>
      <c r="D378" s="15"/>
      <c r="E378" s="17"/>
      <c r="F378" s="15"/>
      <c r="G378" s="18"/>
      <c r="H378" s="15"/>
      <c r="I378" s="15"/>
      <c r="J378" s="15"/>
      <c r="K378" s="15"/>
      <c r="L378" s="15"/>
      <c r="M378" s="18"/>
      <c r="N378" s="18"/>
      <c r="O378" s="19"/>
      <c r="P378" s="20"/>
      <c r="R378" s="17"/>
      <c r="S378" s="22"/>
      <c r="T378" s="22"/>
    </row>
    <row r="379" spans="1:20" s="21" customFormat="1" ht="15.75">
      <c r="A379" s="23"/>
      <c r="B379" s="16"/>
      <c r="C379" s="16"/>
      <c r="D379" s="15"/>
      <c r="E379" s="17"/>
      <c r="F379" s="15"/>
      <c r="G379" s="18"/>
      <c r="H379" s="15"/>
      <c r="I379" s="15"/>
      <c r="J379" s="15"/>
      <c r="K379" s="15"/>
      <c r="L379" s="15"/>
      <c r="M379" s="18"/>
      <c r="N379" s="18"/>
      <c r="O379" s="19"/>
      <c r="P379" s="20"/>
      <c r="R379" s="17"/>
      <c r="S379" s="22"/>
      <c r="T379" s="22"/>
    </row>
    <row r="380" spans="1:20" s="21" customFormat="1" ht="15.75">
      <c r="A380" s="23"/>
      <c r="B380" s="16"/>
      <c r="C380" s="16"/>
      <c r="D380" s="15"/>
      <c r="E380" s="17"/>
      <c r="F380" s="15"/>
      <c r="G380" s="18"/>
      <c r="H380" s="15"/>
      <c r="I380" s="15"/>
      <c r="J380" s="15"/>
      <c r="K380" s="15"/>
      <c r="L380" s="15"/>
      <c r="M380" s="18"/>
      <c r="N380" s="18"/>
      <c r="O380" s="19"/>
      <c r="P380" s="20"/>
      <c r="R380" s="17"/>
      <c r="S380" s="22"/>
      <c r="T380" s="22"/>
    </row>
    <row r="381" spans="1:20" s="21" customFormat="1" ht="15.75">
      <c r="A381" s="23"/>
      <c r="B381" s="16"/>
      <c r="C381" s="16"/>
      <c r="D381" s="15"/>
      <c r="E381" s="17"/>
      <c r="F381" s="15"/>
      <c r="G381" s="18"/>
      <c r="H381" s="15"/>
      <c r="I381" s="15"/>
      <c r="J381" s="15"/>
      <c r="K381" s="15"/>
      <c r="L381" s="15"/>
      <c r="M381" s="18"/>
      <c r="N381" s="18"/>
      <c r="O381" s="19"/>
      <c r="P381" s="20"/>
      <c r="R381" s="17"/>
      <c r="S381" s="22"/>
      <c r="T381" s="22"/>
    </row>
    <row r="382" spans="1:20" s="21" customFormat="1" ht="15.75">
      <c r="A382" s="23"/>
      <c r="B382" s="16"/>
      <c r="C382" s="16"/>
      <c r="D382" s="15"/>
      <c r="E382" s="17"/>
      <c r="F382" s="15"/>
      <c r="G382" s="18"/>
      <c r="H382" s="15"/>
      <c r="I382" s="15"/>
      <c r="J382" s="15"/>
      <c r="K382" s="15"/>
      <c r="L382" s="15"/>
      <c r="M382" s="18"/>
      <c r="N382" s="18"/>
      <c r="O382" s="19"/>
      <c r="P382" s="20"/>
      <c r="R382" s="17"/>
      <c r="S382" s="22"/>
      <c r="T382" s="22"/>
    </row>
    <row r="383" spans="1:20" s="21" customFormat="1" ht="15.75">
      <c r="A383" s="23"/>
      <c r="B383" s="16"/>
      <c r="C383" s="16"/>
      <c r="D383" s="15"/>
      <c r="E383" s="17"/>
      <c r="F383" s="15"/>
      <c r="G383" s="18"/>
      <c r="H383" s="15"/>
      <c r="I383" s="15"/>
      <c r="J383" s="15"/>
      <c r="K383" s="15"/>
      <c r="L383" s="15"/>
      <c r="M383" s="18"/>
      <c r="N383" s="18"/>
      <c r="O383" s="19"/>
      <c r="P383" s="20"/>
      <c r="R383" s="17"/>
      <c r="S383" s="22"/>
      <c r="T383" s="22"/>
    </row>
    <row r="384" spans="1:20" s="21" customFormat="1" ht="15.75">
      <c r="A384" s="23"/>
      <c r="B384" s="16"/>
      <c r="C384" s="16"/>
      <c r="D384" s="15"/>
      <c r="E384" s="17"/>
      <c r="F384" s="15"/>
      <c r="G384" s="18"/>
      <c r="H384" s="15"/>
      <c r="I384" s="15"/>
      <c r="J384" s="15"/>
      <c r="K384" s="15"/>
      <c r="L384" s="15"/>
      <c r="M384" s="18"/>
      <c r="N384" s="18"/>
      <c r="O384" s="19"/>
      <c r="P384" s="20"/>
      <c r="R384" s="17"/>
      <c r="S384" s="22"/>
      <c r="T384" s="22"/>
    </row>
    <row r="385" spans="1:20" s="21" customFormat="1" ht="15.75">
      <c r="A385" s="23"/>
      <c r="B385" s="16"/>
      <c r="C385" s="16"/>
      <c r="D385" s="15"/>
      <c r="E385" s="17"/>
      <c r="F385" s="15"/>
      <c r="G385" s="18"/>
      <c r="H385" s="15"/>
      <c r="I385" s="15"/>
      <c r="J385" s="15"/>
      <c r="K385" s="15"/>
      <c r="L385" s="15"/>
      <c r="M385" s="18"/>
      <c r="N385" s="18"/>
      <c r="O385" s="19"/>
      <c r="P385" s="20"/>
      <c r="R385" s="17"/>
      <c r="S385" s="22"/>
      <c r="T385" s="22"/>
    </row>
    <row r="386" spans="1:20" s="21" customFormat="1" ht="15.75">
      <c r="A386" s="23"/>
      <c r="B386" s="16"/>
      <c r="C386" s="16"/>
      <c r="D386" s="15"/>
      <c r="E386" s="17"/>
      <c r="F386" s="15"/>
      <c r="G386" s="18"/>
      <c r="H386" s="15"/>
      <c r="I386" s="15"/>
      <c r="J386" s="15"/>
      <c r="K386" s="15"/>
      <c r="L386" s="15"/>
      <c r="M386" s="18"/>
      <c r="N386" s="18"/>
      <c r="O386" s="19"/>
      <c r="P386" s="20"/>
      <c r="R386" s="17"/>
      <c r="S386" s="22"/>
      <c r="T386" s="22"/>
    </row>
    <row r="387" spans="1:20" s="21" customFormat="1" ht="15.75">
      <c r="A387" s="23"/>
      <c r="B387" s="16"/>
      <c r="C387" s="16"/>
      <c r="D387" s="15"/>
      <c r="E387" s="17"/>
      <c r="F387" s="15"/>
      <c r="G387" s="18"/>
      <c r="H387" s="15"/>
      <c r="I387" s="15"/>
      <c r="J387" s="15"/>
      <c r="K387" s="15"/>
      <c r="L387" s="15"/>
      <c r="M387" s="18"/>
      <c r="N387" s="18"/>
      <c r="O387" s="19"/>
      <c r="P387" s="20"/>
      <c r="R387" s="17"/>
      <c r="S387" s="22"/>
      <c r="T387" s="22"/>
    </row>
    <row r="388" spans="1:20" s="21" customFormat="1" ht="15.75">
      <c r="A388" s="23"/>
      <c r="B388" s="16"/>
      <c r="C388" s="16"/>
      <c r="D388" s="15"/>
      <c r="E388" s="17"/>
      <c r="F388" s="15"/>
      <c r="G388" s="18"/>
      <c r="H388" s="15"/>
      <c r="I388" s="15"/>
      <c r="J388" s="15"/>
      <c r="K388" s="15"/>
      <c r="L388" s="15"/>
      <c r="M388" s="18"/>
      <c r="N388" s="18"/>
      <c r="O388" s="19"/>
      <c r="P388" s="20"/>
      <c r="R388" s="17"/>
      <c r="S388" s="22"/>
      <c r="T388" s="22"/>
    </row>
    <row r="389" spans="1:20" s="21" customFormat="1" ht="15.75">
      <c r="A389" s="23"/>
      <c r="B389" s="16"/>
      <c r="C389" s="16"/>
      <c r="D389" s="15"/>
      <c r="E389" s="17"/>
      <c r="F389" s="15"/>
      <c r="G389" s="18"/>
      <c r="H389" s="15"/>
      <c r="I389" s="15"/>
      <c r="J389" s="15"/>
      <c r="K389" s="15"/>
      <c r="L389" s="15"/>
      <c r="M389" s="18"/>
      <c r="N389" s="18"/>
      <c r="O389" s="19"/>
      <c r="P389" s="20"/>
      <c r="R389" s="17"/>
      <c r="S389" s="22"/>
      <c r="T389" s="22"/>
    </row>
    <row r="390" spans="1:20" s="21" customFormat="1" ht="15.75">
      <c r="A390" s="23"/>
      <c r="B390" s="16"/>
      <c r="C390" s="16"/>
      <c r="D390" s="15"/>
      <c r="E390" s="17"/>
      <c r="F390" s="15"/>
      <c r="G390" s="18"/>
      <c r="H390" s="15"/>
      <c r="I390" s="15"/>
      <c r="J390" s="15"/>
      <c r="K390" s="15"/>
      <c r="L390" s="15"/>
      <c r="M390" s="18"/>
      <c r="N390" s="18"/>
      <c r="O390" s="19"/>
      <c r="P390" s="20"/>
      <c r="R390" s="17"/>
      <c r="S390" s="22"/>
      <c r="T390" s="22"/>
    </row>
    <row r="391" spans="1:20" s="21" customFormat="1" ht="15.75">
      <c r="A391" s="23"/>
      <c r="B391" s="16"/>
      <c r="C391" s="16"/>
      <c r="D391" s="15"/>
      <c r="E391" s="17"/>
      <c r="F391" s="15"/>
      <c r="G391" s="18"/>
      <c r="H391" s="15"/>
      <c r="I391" s="15"/>
      <c r="J391" s="15"/>
      <c r="K391" s="15"/>
      <c r="L391" s="15"/>
      <c r="M391" s="18"/>
      <c r="N391" s="18"/>
      <c r="O391" s="19"/>
      <c r="P391" s="20"/>
      <c r="R391" s="17"/>
      <c r="S391" s="22"/>
      <c r="T391" s="22"/>
    </row>
    <row r="392" spans="1:20" s="21" customFormat="1" ht="15.75">
      <c r="A392" s="23"/>
      <c r="B392" s="16"/>
      <c r="C392" s="16"/>
      <c r="D392" s="15"/>
      <c r="E392" s="17"/>
      <c r="F392" s="15"/>
      <c r="G392" s="18"/>
      <c r="H392" s="15"/>
      <c r="I392" s="15"/>
      <c r="J392" s="15"/>
      <c r="K392" s="15"/>
      <c r="L392" s="15"/>
      <c r="M392" s="18"/>
      <c r="N392" s="18"/>
      <c r="O392" s="19"/>
      <c r="P392" s="20"/>
      <c r="R392" s="17"/>
      <c r="S392" s="22"/>
      <c r="T392" s="22"/>
    </row>
    <row r="393" spans="1:20" s="21" customFormat="1" ht="15.75">
      <c r="A393" s="23"/>
      <c r="B393" s="16"/>
      <c r="C393" s="16"/>
      <c r="D393" s="15"/>
      <c r="E393" s="17"/>
      <c r="F393" s="15"/>
      <c r="G393" s="18"/>
      <c r="H393" s="15"/>
      <c r="I393" s="15"/>
      <c r="J393" s="15"/>
      <c r="K393" s="15"/>
      <c r="L393" s="15"/>
      <c r="M393" s="18"/>
      <c r="N393" s="18"/>
      <c r="O393" s="19"/>
      <c r="P393" s="20"/>
      <c r="R393" s="17"/>
      <c r="S393" s="22"/>
      <c r="T393" s="22"/>
    </row>
    <row r="394" spans="1:20" s="21" customFormat="1" ht="15.75">
      <c r="A394" s="23"/>
      <c r="B394" s="16"/>
      <c r="C394" s="16"/>
      <c r="D394" s="15"/>
      <c r="E394" s="17"/>
      <c r="F394" s="15"/>
      <c r="G394" s="18"/>
      <c r="H394" s="15"/>
      <c r="I394" s="15"/>
      <c r="J394" s="15"/>
      <c r="K394" s="15"/>
      <c r="L394" s="15"/>
      <c r="M394" s="18"/>
      <c r="N394" s="18"/>
      <c r="O394" s="19"/>
      <c r="P394" s="20"/>
      <c r="R394" s="17"/>
      <c r="S394" s="22"/>
      <c r="T394" s="22"/>
    </row>
    <row r="395" spans="1:20" s="21" customFormat="1" ht="15.75">
      <c r="A395" s="23"/>
      <c r="B395" s="16"/>
      <c r="C395" s="16"/>
      <c r="D395" s="15"/>
      <c r="E395" s="17"/>
      <c r="F395" s="15"/>
      <c r="G395" s="18"/>
      <c r="H395" s="15"/>
      <c r="I395" s="15"/>
      <c r="J395" s="15"/>
      <c r="K395" s="15"/>
      <c r="L395" s="15"/>
      <c r="M395" s="18"/>
      <c r="N395" s="18"/>
      <c r="O395" s="19"/>
      <c r="P395" s="20"/>
      <c r="R395" s="17"/>
      <c r="S395" s="22"/>
      <c r="T395" s="22"/>
    </row>
    <row r="396" spans="1:20" s="21" customFormat="1" ht="15.75">
      <c r="A396" s="23"/>
      <c r="B396" s="16"/>
      <c r="C396" s="16"/>
      <c r="D396" s="15"/>
      <c r="E396" s="17"/>
      <c r="F396" s="15"/>
      <c r="G396" s="18"/>
      <c r="H396" s="15"/>
      <c r="I396" s="15"/>
      <c r="J396" s="15"/>
      <c r="K396" s="15"/>
      <c r="L396" s="15"/>
      <c r="M396" s="18"/>
      <c r="N396" s="18"/>
      <c r="O396" s="19"/>
      <c r="P396" s="20"/>
      <c r="R396" s="17"/>
      <c r="S396" s="22"/>
      <c r="T396" s="22"/>
    </row>
    <row r="397" spans="1:20" s="21" customFormat="1" ht="15.75">
      <c r="A397" s="23"/>
      <c r="B397" s="16"/>
      <c r="C397" s="16"/>
      <c r="D397" s="15"/>
      <c r="E397" s="17"/>
      <c r="F397" s="15"/>
      <c r="G397" s="18"/>
      <c r="H397" s="15"/>
      <c r="I397" s="15"/>
      <c r="J397" s="15"/>
      <c r="K397" s="15"/>
      <c r="L397" s="15"/>
      <c r="M397" s="18"/>
      <c r="N397" s="18"/>
      <c r="O397" s="19"/>
      <c r="P397" s="20"/>
      <c r="R397" s="17"/>
      <c r="S397" s="22"/>
      <c r="T397" s="22"/>
    </row>
    <row r="398" spans="1:20" s="21" customFormat="1" ht="15.75">
      <c r="A398" s="23"/>
      <c r="B398" s="16"/>
      <c r="C398" s="16"/>
      <c r="D398" s="15"/>
      <c r="E398" s="17"/>
      <c r="F398" s="15"/>
      <c r="G398" s="18"/>
      <c r="H398" s="15"/>
      <c r="I398" s="15"/>
      <c r="J398" s="15"/>
      <c r="K398" s="15"/>
      <c r="L398" s="15"/>
      <c r="M398" s="18"/>
      <c r="N398" s="18"/>
      <c r="O398" s="19"/>
      <c r="P398" s="20"/>
      <c r="R398" s="17"/>
      <c r="S398" s="22"/>
      <c r="T398" s="22"/>
    </row>
    <row r="399" spans="1:20" s="21" customFormat="1" ht="15.75">
      <c r="A399" s="23"/>
      <c r="B399" s="16"/>
      <c r="C399" s="16"/>
      <c r="D399" s="15"/>
      <c r="E399" s="17"/>
      <c r="F399" s="15"/>
      <c r="G399" s="18"/>
      <c r="H399" s="15"/>
      <c r="I399" s="15"/>
      <c r="J399" s="15"/>
      <c r="K399" s="15"/>
      <c r="L399" s="15"/>
      <c r="M399" s="18"/>
      <c r="N399" s="18"/>
      <c r="O399" s="19"/>
      <c r="P399" s="20"/>
      <c r="R399" s="17"/>
      <c r="S399" s="22"/>
      <c r="T399" s="22"/>
    </row>
    <row r="400" spans="1:20" s="21" customFormat="1" ht="15.75">
      <c r="A400" s="23"/>
      <c r="B400" s="16"/>
      <c r="C400" s="16"/>
      <c r="D400" s="15"/>
      <c r="E400" s="17"/>
      <c r="F400" s="15"/>
      <c r="G400" s="18"/>
      <c r="H400" s="15"/>
      <c r="I400" s="15"/>
      <c r="J400" s="15"/>
      <c r="K400" s="15"/>
      <c r="L400" s="15"/>
      <c r="M400" s="18"/>
      <c r="N400" s="18"/>
      <c r="O400" s="19"/>
      <c r="P400" s="20"/>
      <c r="R400" s="17"/>
      <c r="S400" s="22"/>
      <c r="T400" s="22"/>
    </row>
    <row r="401" spans="1:20" s="21" customFormat="1" ht="15.75">
      <c r="A401" s="23"/>
      <c r="B401" s="16"/>
      <c r="C401" s="16"/>
      <c r="D401" s="15"/>
      <c r="E401" s="17"/>
      <c r="F401" s="15"/>
      <c r="G401" s="18"/>
      <c r="H401" s="15"/>
      <c r="I401" s="15"/>
      <c r="J401" s="15"/>
      <c r="K401" s="15"/>
      <c r="L401" s="15"/>
      <c r="M401" s="18"/>
      <c r="N401" s="18"/>
      <c r="O401" s="19"/>
      <c r="P401" s="20"/>
      <c r="R401" s="17"/>
      <c r="S401" s="22"/>
      <c r="T401" s="22"/>
    </row>
    <row r="402" spans="1:20" s="21" customFormat="1" ht="15.75">
      <c r="A402" s="23"/>
      <c r="B402" s="16"/>
      <c r="C402" s="16"/>
      <c r="D402" s="15"/>
      <c r="E402" s="17"/>
      <c r="F402" s="15"/>
      <c r="G402" s="18"/>
      <c r="H402" s="15"/>
      <c r="I402" s="15"/>
      <c r="J402" s="15"/>
      <c r="K402" s="15"/>
      <c r="L402" s="15"/>
      <c r="M402" s="18"/>
      <c r="N402" s="18"/>
      <c r="O402" s="19"/>
      <c r="P402" s="20"/>
      <c r="R402" s="17"/>
      <c r="S402" s="22"/>
      <c r="T402" s="22"/>
    </row>
    <row r="403" spans="1:20" s="21" customFormat="1" ht="15.75">
      <c r="A403" s="23"/>
      <c r="B403" s="16"/>
      <c r="C403" s="16"/>
      <c r="D403" s="15"/>
      <c r="E403" s="17"/>
      <c r="F403" s="15"/>
      <c r="G403" s="18"/>
      <c r="H403" s="15"/>
      <c r="I403" s="15"/>
      <c r="J403" s="15"/>
      <c r="K403" s="15"/>
      <c r="L403" s="15"/>
      <c r="M403" s="18"/>
      <c r="N403" s="18"/>
      <c r="O403" s="19"/>
      <c r="P403" s="20"/>
      <c r="R403" s="17"/>
      <c r="S403" s="22"/>
      <c r="T403" s="22"/>
    </row>
    <row r="404" spans="1:20" s="21" customFormat="1" ht="15.75">
      <c r="A404" s="23"/>
      <c r="B404" s="16"/>
      <c r="C404" s="16"/>
      <c r="D404" s="15"/>
      <c r="E404" s="17"/>
      <c r="F404" s="15"/>
      <c r="G404" s="18"/>
      <c r="H404" s="15"/>
      <c r="I404" s="15"/>
      <c r="J404" s="15"/>
      <c r="K404" s="15"/>
      <c r="L404" s="15"/>
      <c r="M404" s="18"/>
      <c r="N404" s="18"/>
      <c r="O404" s="19"/>
      <c r="P404" s="20"/>
      <c r="R404" s="17"/>
      <c r="S404" s="22"/>
      <c r="T404" s="22"/>
    </row>
    <row r="405" spans="1:20" s="21" customFormat="1" ht="15.75">
      <c r="A405" s="23"/>
      <c r="B405" s="16"/>
      <c r="C405" s="16"/>
      <c r="D405" s="15"/>
      <c r="E405" s="17"/>
      <c r="F405" s="15"/>
      <c r="G405" s="18"/>
      <c r="H405" s="15"/>
      <c r="I405" s="15"/>
      <c r="J405" s="15"/>
      <c r="K405" s="15"/>
      <c r="L405" s="15"/>
      <c r="M405" s="18"/>
      <c r="N405" s="18"/>
      <c r="O405" s="19"/>
      <c r="P405" s="20"/>
      <c r="R405" s="17"/>
      <c r="S405" s="22"/>
      <c r="T405" s="22"/>
    </row>
    <row r="406" spans="1:20" s="21" customFormat="1" ht="15.75">
      <c r="A406" s="23"/>
      <c r="B406" s="16"/>
      <c r="C406" s="16"/>
      <c r="D406" s="15"/>
      <c r="E406" s="17"/>
      <c r="F406" s="15"/>
      <c r="G406" s="18"/>
      <c r="H406" s="15"/>
      <c r="I406" s="15"/>
      <c r="J406" s="15"/>
      <c r="K406" s="15"/>
      <c r="L406" s="15"/>
      <c r="M406" s="18"/>
      <c r="N406" s="18"/>
      <c r="O406" s="19"/>
      <c r="P406" s="20"/>
      <c r="R406" s="17"/>
      <c r="S406" s="22"/>
      <c r="T406" s="22"/>
    </row>
    <row r="407" spans="1:20" s="21" customFormat="1" ht="15.75">
      <c r="A407" s="23"/>
      <c r="B407" s="16"/>
      <c r="C407" s="16"/>
      <c r="D407" s="15"/>
      <c r="E407" s="17"/>
      <c r="F407" s="15"/>
      <c r="G407" s="18"/>
      <c r="H407" s="15"/>
      <c r="I407" s="15"/>
      <c r="J407" s="15"/>
      <c r="K407" s="15"/>
      <c r="L407" s="15"/>
      <c r="M407" s="18"/>
      <c r="N407" s="18"/>
      <c r="O407" s="19"/>
      <c r="P407" s="20"/>
      <c r="R407" s="17"/>
      <c r="S407" s="22"/>
      <c r="T407" s="22"/>
    </row>
    <row r="408" spans="1:20" s="21" customFormat="1" ht="15.75">
      <c r="A408" s="23"/>
      <c r="B408" s="16"/>
      <c r="C408" s="16"/>
      <c r="D408" s="15"/>
      <c r="E408" s="17"/>
      <c r="F408" s="15"/>
      <c r="G408" s="18"/>
      <c r="H408" s="15"/>
      <c r="I408" s="15"/>
      <c r="J408" s="15"/>
      <c r="K408" s="15"/>
      <c r="L408" s="15"/>
      <c r="M408" s="18"/>
      <c r="N408" s="18"/>
      <c r="O408" s="19"/>
      <c r="P408" s="20"/>
      <c r="R408" s="17"/>
      <c r="S408" s="22"/>
      <c r="T408" s="22"/>
    </row>
    <row r="409" spans="1:20" s="21" customFormat="1" ht="15.75">
      <c r="A409" s="23"/>
      <c r="B409" s="16"/>
      <c r="C409" s="16"/>
      <c r="D409" s="15"/>
      <c r="E409" s="17"/>
      <c r="F409" s="15"/>
      <c r="G409" s="18"/>
      <c r="H409" s="15"/>
      <c r="I409" s="15"/>
      <c r="J409" s="15"/>
      <c r="K409" s="15"/>
      <c r="L409" s="15"/>
      <c r="M409" s="18"/>
      <c r="N409" s="18"/>
      <c r="O409" s="19"/>
      <c r="P409" s="20"/>
      <c r="R409" s="17"/>
      <c r="S409" s="22"/>
      <c r="T409" s="22"/>
    </row>
    <row r="410" spans="1:20" s="21" customFormat="1" ht="15.75">
      <c r="A410" s="23"/>
      <c r="B410" s="16"/>
      <c r="C410" s="16"/>
      <c r="D410" s="15"/>
      <c r="E410" s="17"/>
      <c r="F410" s="15"/>
      <c r="G410" s="18"/>
      <c r="H410" s="15"/>
      <c r="I410" s="15"/>
      <c r="J410" s="15"/>
      <c r="K410" s="15"/>
      <c r="L410" s="15"/>
      <c r="M410" s="18"/>
      <c r="N410" s="18"/>
      <c r="O410" s="19"/>
      <c r="P410" s="20"/>
      <c r="R410" s="17"/>
      <c r="S410" s="22"/>
      <c r="T410" s="22"/>
    </row>
    <row r="411" spans="1:20" s="21" customFormat="1" ht="15.75">
      <c r="A411" s="23"/>
      <c r="B411" s="16"/>
      <c r="C411" s="16"/>
      <c r="D411" s="15"/>
      <c r="E411" s="17"/>
      <c r="F411" s="15"/>
      <c r="G411" s="18"/>
      <c r="H411" s="15"/>
      <c r="I411" s="15"/>
      <c r="J411" s="15"/>
      <c r="K411" s="15"/>
      <c r="L411" s="15"/>
      <c r="M411" s="18"/>
      <c r="N411" s="18"/>
      <c r="O411" s="19"/>
      <c r="P411" s="20"/>
      <c r="R411" s="17"/>
      <c r="S411" s="22"/>
      <c r="T411" s="22"/>
    </row>
    <row r="412" spans="1:20" s="21" customFormat="1" ht="15.75">
      <c r="A412" s="23"/>
      <c r="B412" s="16"/>
      <c r="C412" s="16"/>
      <c r="D412" s="15"/>
      <c r="E412" s="17"/>
      <c r="F412" s="15"/>
      <c r="G412" s="18"/>
      <c r="H412" s="15"/>
      <c r="I412" s="15"/>
      <c r="J412" s="15"/>
      <c r="K412" s="15"/>
      <c r="L412" s="15"/>
      <c r="M412" s="18"/>
      <c r="N412" s="18"/>
      <c r="O412" s="19"/>
      <c r="P412" s="20"/>
      <c r="R412" s="17"/>
      <c r="S412" s="22"/>
      <c r="T412" s="22"/>
    </row>
    <row r="413" spans="1:20" s="21" customFormat="1" ht="15.75">
      <c r="A413" s="23"/>
      <c r="B413" s="16"/>
      <c r="C413" s="16"/>
      <c r="D413" s="15"/>
      <c r="E413" s="17"/>
      <c r="F413" s="15"/>
      <c r="G413" s="18"/>
      <c r="H413" s="15"/>
      <c r="I413" s="15"/>
      <c r="J413" s="15"/>
      <c r="K413" s="15"/>
      <c r="L413" s="15"/>
      <c r="M413" s="18"/>
      <c r="N413" s="18"/>
      <c r="O413" s="19"/>
      <c r="P413" s="20"/>
      <c r="R413" s="17"/>
      <c r="S413" s="22"/>
      <c r="T413" s="22"/>
    </row>
    <row r="414" spans="1:20" s="21" customFormat="1" ht="15.75">
      <c r="A414" s="23"/>
      <c r="B414" s="16"/>
      <c r="C414" s="16"/>
      <c r="D414" s="15"/>
      <c r="E414" s="17"/>
      <c r="F414" s="15"/>
      <c r="G414" s="18"/>
      <c r="H414" s="15"/>
      <c r="I414" s="15"/>
      <c r="J414" s="15"/>
      <c r="K414" s="15"/>
      <c r="L414" s="15"/>
      <c r="M414" s="18"/>
      <c r="N414" s="18"/>
      <c r="O414" s="19"/>
      <c r="P414" s="20"/>
      <c r="R414" s="17"/>
      <c r="S414" s="22"/>
      <c r="T414" s="22"/>
    </row>
    <row r="415" spans="1:20" s="21" customFormat="1" ht="15.75">
      <c r="A415" s="23"/>
      <c r="B415" s="16"/>
      <c r="C415" s="16"/>
      <c r="D415" s="15"/>
      <c r="E415" s="17"/>
      <c r="F415" s="15"/>
      <c r="G415" s="18"/>
      <c r="H415" s="15"/>
      <c r="I415" s="15"/>
      <c r="J415" s="15"/>
      <c r="K415" s="15"/>
      <c r="L415" s="15"/>
      <c r="M415" s="18"/>
      <c r="N415" s="18"/>
      <c r="O415" s="19"/>
      <c r="P415" s="20"/>
      <c r="R415" s="17"/>
      <c r="S415" s="22"/>
      <c r="T415" s="22"/>
    </row>
    <row r="416" spans="1:20" s="21" customFormat="1" ht="15.75">
      <c r="A416" s="23"/>
      <c r="B416" s="16"/>
      <c r="C416" s="16"/>
      <c r="D416" s="15"/>
      <c r="E416" s="17"/>
      <c r="F416" s="15"/>
      <c r="G416" s="18"/>
      <c r="H416" s="15"/>
      <c r="I416" s="15"/>
      <c r="J416" s="15"/>
      <c r="K416" s="15"/>
      <c r="L416" s="15"/>
      <c r="M416" s="18"/>
      <c r="N416" s="18"/>
      <c r="O416" s="19"/>
      <c r="P416" s="20"/>
      <c r="R416" s="17"/>
      <c r="S416" s="22"/>
      <c r="T416" s="22"/>
    </row>
    <row r="417" spans="1:20" s="21" customFormat="1" ht="15.75">
      <c r="A417" s="23"/>
      <c r="B417" s="16"/>
      <c r="C417" s="16"/>
      <c r="D417" s="15"/>
      <c r="E417" s="17"/>
      <c r="F417" s="15"/>
      <c r="G417" s="18"/>
      <c r="H417" s="15"/>
      <c r="I417" s="15"/>
      <c r="J417" s="15"/>
      <c r="K417" s="15"/>
      <c r="L417" s="15"/>
      <c r="M417" s="18"/>
      <c r="N417" s="18"/>
      <c r="O417" s="19"/>
      <c r="P417" s="20"/>
      <c r="R417" s="17"/>
      <c r="S417" s="22"/>
      <c r="T417" s="22"/>
    </row>
    <row r="418" spans="1:20" s="21" customFormat="1" ht="15.75">
      <c r="A418" s="23"/>
      <c r="B418" s="16"/>
      <c r="C418" s="16"/>
      <c r="D418" s="15"/>
      <c r="E418" s="17"/>
      <c r="F418" s="15"/>
      <c r="G418" s="18"/>
      <c r="H418" s="15"/>
      <c r="I418" s="15"/>
      <c r="J418" s="15"/>
      <c r="K418" s="15"/>
      <c r="L418" s="15"/>
      <c r="M418" s="18"/>
      <c r="N418" s="18"/>
      <c r="O418" s="19"/>
      <c r="P418" s="20"/>
      <c r="R418" s="17"/>
      <c r="S418" s="22"/>
      <c r="T418" s="22"/>
    </row>
    <row r="419" spans="1:20" s="21" customFormat="1" ht="15.75">
      <c r="A419" s="23"/>
      <c r="B419" s="16"/>
      <c r="C419" s="16"/>
      <c r="D419" s="15"/>
      <c r="E419" s="17"/>
      <c r="F419" s="15"/>
      <c r="G419" s="18"/>
      <c r="H419" s="15"/>
      <c r="I419" s="15"/>
      <c r="J419" s="15"/>
      <c r="K419" s="15"/>
      <c r="L419" s="15"/>
      <c r="M419" s="18"/>
      <c r="N419" s="18"/>
      <c r="O419" s="19"/>
      <c r="P419" s="20"/>
      <c r="R419" s="17"/>
      <c r="S419" s="22"/>
      <c r="T419" s="22"/>
    </row>
    <row r="420" spans="1:20" s="21" customFormat="1" ht="15.75">
      <c r="A420" s="23"/>
      <c r="B420" s="16"/>
      <c r="C420" s="16"/>
      <c r="D420" s="15"/>
      <c r="E420" s="17"/>
      <c r="F420" s="15"/>
      <c r="G420" s="18"/>
      <c r="H420" s="15"/>
      <c r="I420" s="15"/>
      <c r="J420" s="15"/>
      <c r="K420" s="15"/>
      <c r="L420" s="15"/>
      <c r="M420" s="18"/>
      <c r="N420" s="18"/>
      <c r="O420" s="19"/>
      <c r="P420" s="20"/>
      <c r="R420" s="17"/>
      <c r="S420" s="22"/>
      <c r="T420" s="22"/>
    </row>
    <row r="421" spans="1:20" s="21" customFormat="1" ht="15.75">
      <c r="A421" s="23"/>
      <c r="B421" s="16"/>
      <c r="C421" s="16"/>
      <c r="D421" s="15"/>
      <c r="E421" s="17"/>
      <c r="F421" s="15"/>
      <c r="G421" s="18"/>
      <c r="H421" s="15"/>
      <c r="I421" s="15"/>
      <c r="J421" s="15"/>
      <c r="K421" s="15"/>
      <c r="L421" s="15"/>
      <c r="M421" s="18"/>
      <c r="N421" s="18"/>
      <c r="O421" s="19"/>
      <c r="P421" s="20"/>
      <c r="R421" s="17"/>
      <c r="S421" s="22"/>
      <c r="T421" s="22"/>
    </row>
    <row r="422" spans="1:20" s="21" customFormat="1" ht="15.75">
      <c r="A422" s="23"/>
      <c r="B422" s="16"/>
      <c r="C422" s="16"/>
      <c r="D422" s="15"/>
      <c r="E422" s="17"/>
      <c r="F422" s="15"/>
      <c r="G422" s="18"/>
      <c r="H422" s="15"/>
      <c r="I422" s="15"/>
      <c r="J422" s="15"/>
      <c r="K422" s="15"/>
      <c r="L422" s="15"/>
      <c r="M422" s="18"/>
      <c r="N422" s="18"/>
      <c r="O422" s="19"/>
      <c r="P422" s="20"/>
      <c r="R422" s="17"/>
      <c r="S422" s="22"/>
      <c r="T422" s="22"/>
    </row>
    <row r="423" spans="1:20" s="21" customFormat="1" ht="15.75">
      <c r="A423" s="23"/>
      <c r="B423" s="16"/>
      <c r="C423" s="16"/>
      <c r="D423" s="15"/>
      <c r="E423" s="17"/>
      <c r="F423" s="15"/>
      <c r="G423" s="18"/>
      <c r="H423" s="15"/>
      <c r="I423" s="15"/>
      <c r="J423" s="15"/>
      <c r="K423" s="15"/>
      <c r="L423" s="15"/>
      <c r="M423" s="18"/>
      <c r="N423" s="18"/>
      <c r="O423" s="19"/>
      <c r="P423" s="20"/>
      <c r="R423" s="17"/>
      <c r="S423" s="22"/>
      <c r="T423" s="22"/>
    </row>
    <row r="424" spans="1:20" s="21" customFormat="1" ht="15.75">
      <c r="A424" s="23"/>
      <c r="B424" s="16"/>
      <c r="C424" s="16"/>
      <c r="D424" s="15"/>
      <c r="E424" s="17"/>
      <c r="F424" s="15"/>
      <c r="G424" s="18"/>
      <c r="H424" s="15"/>
      <c r="I424" s="15"/>
      <c r="J424" s="15"/>
      <c r="K424" s="15"/>
      <c r="L424" s="15"/>
      <c r="M424" s="18"/>
      <c r="N424" s="18"/>
      <c r="O424" s="19"/>
      <c r="P424" s="20"/>
      <c r="R424" s="17"/>
      <c r="S424" s="22"/>
      <c r="T424" s="22"/>
    </row>
    <row r="425" spans="1:20" s="21" customFormat="1" ht="15.75">
      <c r="A425" s="23"/>
      <c r="B425" s="16"/>
      <c r="C425" s="16"/>
      <c r="D425" s="15"/>
      <c r="E425" s="17"/>
      <c r="F425" s="15"/>
      <c r="G425" s="18"/>
      <c r="H425" s="15"/>
      <c r="I425" s="15"/>
      <c r="J425" s="15"/>
      <c r="K425" s="15"/>
      <c r="L425" s="15"/>
      <c r="M425" s="18"/>
      <c r="N425" s="18"/>
      <c r="O425" s="19"/>
      <c r="P425" s="20"/>
      <c r="R425" s="17"/>
      <c r="S425" s="22"/>
      <c r="T425" s="22"/>
    </row>
    <row r="426" spans="1:20" s="21" customFormat="1" ht="15.75">
      <c r="A426" s="23"/>
      <c r="B426" s="16"/>
      <c r="C426" s="16"/>
      <c r="D426" s="15"/>
      <c r="E426" s="17"/>
      <c r="F426" s="15"/>
      <c r="G426" s="18"/>
      <c r="H426" s="15"/>
      <c r="I426" s="15"/>
      <c r="J426" s="15"/>
      <c r="K426" s="15"/>
      <c r="L426" s="15"/>
      <c r="M426" s="18"/>
      <c r="N426" s="18"/>
      <c r="O426" s="19"/>
      <c r="P426" s="20"/>
      <c r="R426" s="17"/>
      <c r="S426" s="22"/>
      <c r="T426" s="22"/>
    </row>
    <row r="427" spans="1:20" s="21" customFormat="1" ht="15.75">
      <c r="A427" s="23"/>
      <c r="B427" s="16"/>
      <c r="C427" s="16"/>
      <c r="D427" s="15"/>
      <c r="E427" s="17"/>
      <c r="F427" s="15"/>
      <c r="G427" s="18"/>
      <c r="H427" s="15"/>
      <c r="I427" s="15"/>
      <c r="J427" s="15"/>
      <c r="K427" s="15"/>
      <c r="L427" s="15"/>
      <c r="M427" s="18"/>
      <c r="N427" s="18"/>
      <c r="O427" s="19"/>
      <c r="P427" s="20"/>
      <c r="R427" s="17"/>
      <c r="S427" s="22"/>
      <c r="T427" s="22"/>
    </row>
    <row r="428" spans="1:20" s="21" customFormat="1" ht="15.75">
      <c r="A428" s="23"/>
      <c r="B428" s="16"/>
      <c r="C428" s="16"/>
      <c r="D428" s="15"/>
      <c r="E428" s="17"/>
      <c r="F428" s="15"/>
      <c r="G428" s="18"/>
      <c r="H428" s="15"/>
      <c r="I428" s="15"/>
      <c r="J428" s="15"/>
      <c r="K428" s="15"/>
      <c r="L428" s="15"/>
      <c r="M428" s="18"/>
      <c r="N428" s="18"/>
      <c r="O428" s="19"/>
      <c r="P428" s="20"/>
      <c r="R428" s="17"/>
      <c r="S428" s="22"/>
      <c r="T428" s="22"/>
    </row>
    <row r="429" spans="1:20" s="21" customFormat="1" ht="15.75">
      <c r="A429" s="23"/>
      <c r="B429" s="16"/>
      <c r="C429" s="16"/>
      <c r="D429" s="15"/>
      <c r="E429" s="17"/>
      <c r="F429" s="15"/>
      <c r="G429" s="18"/>
      <c r="H429" s="15"/>
      <c r="I429" s="15"/>
      <c r="J429" s="15"/>
      <c r="K429" s="15"/>
      <c r="L429" s="15"/>
      <c r="M429" s="18"/>
      <c r="N429" s="18"/>
      <c r="O429" s="19"/>
      <c r="P429" s="20"/>
      <c r="R429" s="17"/>
      <c r="S429" s="22"/>
      <c r="T429" s="22"/>
    </row>
    <row r="430" spans="1:20" s="21" customFormat="1" ht="15.75">
      <c r="A430" s="23"/>
      <c r="B430" s="16"/>
      <c r="C430" s="16"/>
      <c r="D430" s="15"/>
      <c r="E430" s="17"/>
      <c r="F430" s="15"/>
      <c r="G430" s="18"/>
      <c r="H430" s="15"/>
      <c r="I430" s="15"/>
      <c r="J430" s="15"/>
      <c r="K430" s="15"/>
      <c r="L430" s="15"/>
      <c r="M430" s="18"/>
      <c r="N430" s="18"/>
      <c r="O430" s="19"/>
      <c r="P430" s="20"/>
      <c r="R430" s="17"/>
      <c r="S430" s="22"/>
      <c r="T430" s="22"/>
    </row>
    <row r="431" spans="1:20" s="21" customFormat="1" ht="15.75">
      <c r="A431" s="23"/>
      <c r="B431" s="16"/>
      <c r="C431" s="16"/>
      <c r="D431" s="15"/>
      <c r="E431" s="17"/>
      <c r="F431" s="15"/>
      <c r="G431" s="18"/>
      <c r="H431" s="15"/>
      <c r="I431" s="15"/>
      <c r="J431" s="15"/>
      <c r="K431" s="15"/>
      <c r="L431" s="15"/>
      <c r="M431" s="18"/>
      <c r="N431" s="18"/>
      <c r="O431" s="19"/>
      <c r="P431" s="20"/>
      <c r="R431" s="17"/>
      <c r="S431" s="22"/>
      <c r="T431" s="22"/>
    </row>
    <row r="432" spans="1:20" s="21" customFormat="1" ht="15.75">
      <c r="A432" s="23"/>
      <c r="B432" s="16"/>
      <c r="C432" s="16"/>
      <c r="D432" s="15"/>
      <c r="E432" s="17"/>
      <c r="F432" s="15"/>
      <c r="G432" s="18"/>
      <c r="H432" s="15"/>
      <c r="I432" s="15"/>
      <c r="J432" s="15"/>
      <c r="K432" s="15"/>
      <c r="L432" s="15"/>
      <c r="M432" s="18"/>
      <c r="N432" s="18"/>
      <c r="O432" s="19"/>
      <c r="P432" s="20"/>
      <c r="R432" s="17"/>
      <c r="S432" s="22"/>
      <c r="T432" s="22"/>
    </row>
    <row r="433" spans="1:20" s="21" customFormat="1" ht="15.75">
      <c r="A433" s="23"/>
      <c r="B433" s="16"/>
      <c r="C433" s="16"/>
      <c r="D433" s="15"/>
      <c r="E433" s="17"/>
      <c r="F433" s="15"/>
      <c r="G433" s="18"/>
      <c r="H433" s="15"/>
      <c r="I433" s="15"/>
      <c r="J433" s="15"/>
      <c r="K433" s="15"/>
      <c r="L433" s="15"/>
      <c r="M433" s="18"/>
      <c r="N433" s="18"/>
      <c r="O433" s="19"/>
      <c r="P433" s="20"/>
      <c r="R433" s="17"/>
      <c r="S433" s="22"/>
      <c r="T433" s="22"/>
    </row>
    <row r="434" spans="1:20" s="21" customFormat="1" ht="15.75">
      <c r="A434" s="23"/>
      <c r="B434" s="16"/>
      <c r="C434" s="16"/>
      <c r="D434" s="15"/>
      <c r="E434" s="17"/>
      <c r="F434" s="15"/>
      <c r="G434" s="18"/>
      <c r="H434" s="15"/>
      <c r="I434" s="15"/>
      <c r="J434" s="15"/>
      <c r="K434" s="15"/>
      <c r="L434" s="15"/>
      <c r="M434" s="18"/>
      <c r="N434" s="18"/>
      <c r="O434" s="19"/>
      <c r="P434" s="20"/>
      <c r="R434" s="17"/>
      <c r="S434" s="22"/>
      <c r="T434" s="22"/>
    </row>
    <row r="435" spans="1:20" s="21" customFormat="1" ht="15.75">
      <c r="A435" s="23"/>
      <c r="B435" s="16"/>
      <c r="C435" s="16"/>
      <c r="D435" s="15"/>
      <c r="E435" s="17"/>
      <c r="F435" s="15"/>
      <c r="G435" s="18"/>
      <c r="H435" s="15"/>
      <c r="I435" s="15"/>
      <c r="J435" s="15"/>
      <c r="K435" s="15"/>
      <c r="L435" s="15"/>
      <c r="M435" s="18"/>
      <c r="N435" s="18"/>
      <c r="O435" s="19"/>
      <c r="P435" s="20"/>
      <c r="R435" s="17"/>
      <c r="S435" s="22"/>
      <c r="T435" s="22"/>
    </row>
    <row r="436" spans="1:20" s="21" customFormat="1" ht="15.75">
      <c r="A436" s="23"/>
      <c r="B436" s="16"/>
      <c r="C436" s="16"/>
      <c r="D436" s="15"/>
      <c r="E436" s="17"/>
      <c r="F436" s="15"/>
      <c r="G436" s="18"/>
      <c r="H436" s="15"/>
      <c r="I436" s="15"/>
      <c r="J436" s="15"/>
      <c r="K436" s="15"/>
      <c r="L436" s="15"/>
      <c r="M436" s="18"/>
      <c r="N436" s="18"/>
      <c r="O436" s="19"/>
      <c r="P436" s="20"/>
      <c r="R436" s="17"/>
      <c r="S436" s="22"/>
      <c r="T436" s="22"/>
    </row>
    <row r="437" spans="1:20" s="21" customFormat="1" ht="15.75">
      <c r="A437" s="23"/>
      <c r="B437" s="16"/>
      <c r="C437" s="16"/>
      <c r="D437" s="15"/>
      <c r="E437" s="17"/>
      <c r="F437" s="15"/>
      <c r="G437" s="18"/>
      <c r="H437" s="15"/>
      <c r="I437" s="15"/>
      <c r="J437" s="15"/>
      <c r="K437" s="15"/>
      <c r="L437" s="15"/>
      <c r="M437" s="18"/>
      <c r="N437" s="18"/>
      <c r="O437" s="19"/>
      <c r="P437" s="20"/>
      <c r="R437" s="17"/>
      <c r="S437" s="22"/>
      <c r="T437" s="22"/>
    </row>
    <row r="438" spans="1:20" s="21" customFormat="1" ht="15.75">
      <c r="A438" s="23"/>
      <c r="B438" s="16"/>
      <c r="C438" s="16"/>
      <c r="D438" s="15"/>
      <c r="E438" s="17"/>
      <c r="F438" s="15"/>
      <c r="G438" s="18"/>
      <c r="H438" s="15"/>
      <c r="I438" s="15"/>
      <c r="J438" s="15"/>
      <c r="K438" s="15"/>
      <c r="L438" s="15"/>
      <c r="M438" s="18"/>
      <c r="N438" s="18"/>
      <c r="O438" s="19"/>
      <c r="P438" s="20"/>
      <c r="R438" s="17"/>
      <c r="S438" s="22"/>
      <c r="T438" s="22"/>
    </row>
    <row r="439" spans="1:20" s="21" customFormat="1" ht="15.75">
      <c r="A439" s="23"/>
      <c r="B439" s="16"/>
      <c r="C439" s="16"/>
      <c r="D439" s="15"/>
      <c r="E439" s="17"/>
      <c r="F439" s="15"/>
      <c r="G439" s="18"/>
      <c r="H439" s="15"/>
      <c r="I439" s="15"/>
      <c r="J439" s="15"/>
      <c r="K439" s="15"/>
      <c r="L439" s="15"/>
      <c r="M439" s="18"/>
      <c r="N439" s="18"/>
      <c r="O439" s="19"/>
      <c r="P439" s="20"/>
      <c r="R439" s="17"/>
      <c r="S439" s="22"/>
      <c r="T439" s="22"/>
    </row>
    <row r="440" spans="1:20" s="21" customFormat="1" ht="15.75">
      <c r="A440" s="23"/>
      <c r="B440" s="16"/>
      <c r="C440" s="16"/>
      <c r="D440" s="15"/>
      <c r="E440" s="17"/>
      <c r="F440" s="15"/>
      <c r="G440" s="18"/>
      <c r="H440" s="15"/>
      <c r="I440" s="15"/>
      <c r="J440" s="15"/>
      <c r="K440" s="15"/>
      <c r="L440" s="15"/>
      <c r="M440" s="18"/>
      <c r="N440" s="18"/>
      <c r="O440" s="19"/>
      <c r="P440" s="20"/>
      <c r="R440" s="17"/>
      <c r="S440" s="22"/>
      <c r="T440" s="22"/>
    </row>
    <row r="441" spans="1:20" s="21" customFormat="1" ht="15.75">
      <c r="A441" s="23"/>
      <c r="B441" s="16"/>
      <c r="C441" s="16"/>
      <c r="D441" s="15"/>
      <c r="E441" s="17"/>
      <c r="F441" s="15"/>
      <c r="G441" s="18"/>
      <c r="H441" s="15"/>
      <c r="I441" s="15"/>
      <c r="J441" s="15"/>
      <c r="K441" s="15"/>
      <c r="L441" s="15"/>
      <c r="M441" s="18"/>
      <c r="N441" s="18"/>
      <c r="O441" s="19"/>
      <c r="P441" s="20"/>
      <c r="R441" s="17"/>
      <c r="S441" s="22"/>
      <c r="T441" s="22"/>
    </row>
    <row r="442" spans="1:20" s="21" customFormat="1" ht="15.75">
      <c r="A442" s="23"/>
      <c r="B442" s="16"/>
      <c r="C442" s="16"/>
      <c r="D442" s="15"/>
      <c r="E442" s="17"/>
      <c r="F442" s="15"/>
      <c r="G442" s="18"/>
      <c r="H442" s="15"/>
      <c r="I442" s="15"/>
      <c r="J442" s="15"/>
      <c r="K442" s="15"/>
      <c r="L442" s="15"/>
      <c r="M442" s="18"/>
      <c r="N442" s="18"/>
      <c r="O442" s="19"/>
      <c r="P442" s="20"/>
      <c r="R442" s="17"/>
      <c r="S442" s="22"/>
      <c r="T442" s="22"/>
    </row>
    <row r="443" spans="1:20" s="21" customFormat="1" ht="15.75">
      <c r="A443" s="23"/>
      <c r="B443" s="16"/>
      <c r="C443" s="16"/>
      <c r="D443" s="15"/>
      <c r="E443" s="17"/>
      <c r="F443" s="15"/>
      <c r="G443" s="18"/>
      <c r="H443" s="15"/>
      <c r="I443" s="15"/>
      <c r="J443" s="15"/>
      <c r="K443" s="15"/>
      <c r="L443" s="15"/>
      <c r="M443" s="18"/>
      <c r="N443" s="18"/>
      <c r="O443" s="19"/>
      <c r="P443" s="20"/>
      <c r="R443" s="17"/>
      <c r="S443" s="22"/>
      <c r="T443" s="22"/>
    </row>
    <row r="444" spans="1:20" s="21" customFormat="1" ht="15.75">
      <c r="A444" s="23"/>
      <c r="B444" s="16"/>
      <c r="C444" s="16"/>
      <c r="D444" s="15"/>
      <c r="E444" s="17"/>
      <c r="F444" s="15"/>
      <c r="G444" s="18"/>
      <c r="H444" s="15"/>
      <c r="I444" s="15"/>
      <c r="J444" s="15"/>
      <c r="K444" s="15"/>
      <c r="L444" s="15"/>
      <c r="M444" s="18"/>
      <c r="N444" s="18"/>
      <c r="O444" s="19"/>
      <c r="P444" s="20"/>
      <c r="R444" s="17"/>
      <c r="S444" s="22"/>
      <c r="T444" s="22"/>
    </row>
    <row r="445" spans="1:20" s="21" customFormat="1" ht="15.75">
      <c r="A445" s="23"/>
      <c r="B445" s="16"/>
      <c r="C445" s="16"/>
      <c r="D445" s="15"/>
      <c r="E445" s="17"/>
      <c r="F445" s="15"/>
      <c r="G445" s="18"/>
      <c r="H445" s="15"/>
      <c r="I445" s="15"/>
      <c r="J445" s="15"/>
      <c r="K445" s="15"/>
      <c r="L445" s="15"/>
      <c r="M445" s="18"/>
      <c r="N445" s="18"/>
      <c r="O445" s="19"/>
      <c r="P445" s="20"/>
      <c r="R445" s="17"/>
      <c r="S445" s="22"/>
      <c r="T445" s="22"/>
    </row>
  </sheetData>
  <conditionalFormatting sqref="B2:B1048576">
    <cfRule type="expression" dxfId="21" priority="11">
      <formula>LEN(B2)&gt;0</formula>
    </cfRule>
  </conditionalFormatting>
  <conditionalFormatting sqref="C2:P4 O6:P13 K5:P5 K14:P34 C5:J34 C35:P1048576">
    <cfRule type="expression" dxfId="20" priority="10">
      <formula>LEN($B2)&gt;0</formula>
    </cfRule>
  </conditionalFormatting>
  <conditionalFormatting sqref="K6:N9">
    <cfRule type="expression" dxfId="19" priority="8">
      <formula>LEN($B6)&gt;0</formula>
    </cfRule>
  </conditionalFormatting>
  <conditionalFormatting sqref="K10:N13">
    <cfRule type="expression" dxfId="18" priority="6">
      <formula>LEN($B10)&gt;0</formula>
    </cfRule>
  </conditionalFormatting>
  <conditionalFormatting sqref="B2">
    <cfRule type="expression" dxfId="17" priority="5">
      <formula>LEN(B2)=0</formula>
    </cfRule>
  </conditionalFormatting>
  <conditionalFormatting sqref="A2:A1048576">
    <cfRule type="expression" dxfId="16" priority="3">
      <formula>LEN(O2)&gt;0</formula>
    </cfRule>
    <cfRule type="expression" dxfId="15" priority="4">
      <formula>ISNUMBER(FIND("(",B2))</formula>
    </cfRule>
  </conditionalFormatting>
  <conditionalFormatting sqref="G2:G277 A2:A277">
    <cfRule type="expression" dxfId="14" priority="2">
      <formula>AND(ISNUMBER(--RIGHT($G2,4))=FALSE, LEN($B2)&gt;0)</formula>
    </cfRule>
  </conditionalFormatting>
  <conditionalFormatting sqref="F1">
    <cfRule type="containsText" dxfId="13" priority="1" operator="containsText" text="Check_Please !!!">
      <formula>NOT(ISERROR(SEARCH("Check_Please !!!",F1)))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1"/>
  <sheetViews>
    <sheetView showGridLines="0" showRowColHeaders="0" tabSelected="1" workbookViewId="0">
      <selection activeCell="H5" sqref="H5"/>
    </sheetView>
  </sheetViews>
  <sheetFormatPr defaultRowHeight="15" zeroHeight="1"/>
  <cols>
    <col min="1" max="2" width="6.85546875" style="1" customWidth="1"/>
    <col min="3" max="3" width="2.28515625" style="2" hidden="1" customWidth="1"/>
    <col min="4" max="4" width="7" style="33" customWidth="1"/>
    <col min="5" max="5" width="11.7109375" style="3" customWidth="1"/>
    <col min="6" max="6" width="11.7109375" style="4" customWidth="1"/>
    <col min="7" max="7" width="4.7109375" style="3" customWidth="1"/>
    <col min="8" max="8" width="14.28515625" style="26" customWidth="1"/>
    <col min="9" max="9" width="4.85546875" style="3" customWidth="1"/>
    <col min="10" max="11" width="11.85546875" style="3" customWidth="1"/>
    <col min="12" max="12" width="1.28515625" style="3" customWidth="1"/>
    <col min="13" max="13" width="16.5703125" style="3" customWidth="1"/>
    <col min="14" max="14" width="18" style="3" customWidth="1"/>
    <col min="15" max="15" width="12.85546875" style="3" customWidth="1"/>
    <col min="16" max="16384" width="9.140625" style="3"/>
  </cols>
  <sheetData>
    <row r="1" spans="1:15" ht="21.75" customHeight="1">
      <c r="A1" s="3"/>
      <c r="B1" s="48" t="s">
        <v>30</v>
      </c>
      <c r="C1" s="49"/>
      <c r="D1" s="50"/>
      <c r="E1" s="48"/>
      <c r="F1" s="49"/>
      <c r="G1" s="48"/>
      <c r="H1" s="49"/>
      <c r="I1" s="48" t="s">
        <v>2</v>
      </c>
      <c r="J1" s="56" t="str">
        <f ca="1">LEFT(CELL("filename"),FIND("[",  CELL("filename")  )-1)</f>
        <v>D:\Book+Stock\Set-15\</v>
      </c>
      <c r="K1" s="56"/>
      <c r="L1" s="56"/>
      <c r="M1" s="56"/>
      <c r="N1" s="56"/>
      <c r="O1" s="56"/>
    </row>
    <row r="2" spans="1:15">
      <c r="A2" s="3"/>
      <c r="B2" s="3"/>
      <c r="C2" s="5"/>
      <c r="D2" s="57" t="s">
        <v>23</v>
      </c>
      <c r="E2" s="58"/>
      <c r="F2" s="58"/>
      <c r="G2" s="58"/>
      <c r="H2" s="58"/>
      <c r="I2" s="59"/>
      <c r="K2" s="47" t="b">
        <v>0</v>
      </c>
      <c r="L2" s="68" t="str">
        <f ca="1">IF(K2=FALSE,LEFT(CELL("filename"),FIND("[",CELL("filename"))-1),
addr_2)</f>
        <v>D:\Book+Stock\Set-15\</v>
      </c>
      <c r="M2" s="68"/>
      <c r="N2" s="68"/>
      <c r="O2" s="68"/>
    </row>
    <row r="3" spans="1:15" ht="10.5" customHeight="1">
      <c r="A3" s="3"/>
      <c r="B3" s="3"/>
    </row>
    <row r="4" spans="1:15" ht="15.75" thickBot="1">
      <c r="A4" s="6" t="s">
        <v>0</v>
      </c>
      <c r="B4" s="6" t="s">
        <v>1</v>
      </c>
      <c r="C4" s="7"/>
      <c r="D4" s="34" t="b">
        <v>1</v>
      </c>
      <c r="E4" s="32" t="str">
        <f>IF(E15=FALSE,"Reverse", "Normal")</f>
        <v>Normal</v>
      </c>
      <c r="F4" s="36">
        <v>39</v>
      </c>
      <c r="G4" s="31"/>
      <c r="H4" s="3"/>
    </row>
    <row r="5" spans="1:15" ht="15.75" thickTop="1">
      <c r="B5" s="8"/>
      <c r="C5" s="2" t="str">
        <f t="shared" ref="C5:C36" si="0">IFERROR(IF(LEN(A5)&gt;0, --LEFT(A5,FIND(".",A5)-1), ""),"")</f>
        <v/>
      </c>
      <c r="D5" s="35" t="str">
        <f>IF(LEN(A5)&gt;0,ROW(A2) + IF($E$4="Reverse", $F$4, 0) &amp; SUBSTITUTE($F$7,"*",""), "")</f>
        <v/>
      </c>
      <c r="E5" s="60"/>
      <c r="F5" s="61"/>
      <c r="H5" s="27" t="s">
        <v>24</v>
      </c>
      <c r="J5" s="60" t="s">
        <v>31</v>
      </c>
      <c r="K5" s="61"/>
    </row>
    <row r="6" spans="1:15">
      <c r="A6" s="8"/>
      <c r="B6" s="8"/>
      <c r="C6" s="2" t="str">
        <f t="shared" si="0"/>
        <v/>
      </c>
      <c r="D6" s="35" t="str">
        <f t="shared" ref="D6:D69" si="1">IF(LEN(A6)&gt;0,ROW(A3) + IF($E$4="Reverse", $F$4, 0) &amp; SUBSTITUTE($F$7,"*",""), "")</f>
        <v/>
      </c>
      <c r="E6" s="62"/>
      <c r="F6" s="63"/>
      <c r="H6" s="53"/>
      <c r="J6" s="62"/>
      <c r="K6" s="63"/>
    </row>
    <row r="7" spans="1:15">
      <c r="A7" s="8"/>
      <c r="B7" s="8"/>
      <c r="C7" s="2" t="str">
        <f t="shared" si="0"/>
        <v/>
      </c>
      <c r="D7" s="35" t="str">
        <f t="shared" si="1"/>
        <v/>
      </c>
      <c r="E7" s="44" t="s">
        <v>19</v>
      </c>
      <c r="F7" s="45" t="s">
        <v>24</v>
      </c>
      <c r="H7" s="53"/>
      <c r="J7" s="28"/>
      <c r="K7" s="29"/>
    </row>
    <row r="8" spans="1:15">
      <c r="A8" s="8"/>
      <c r="B8" s="8"/>
      <c r="C8" s="2" t="str">
        <f t="shared" si="0"/>
        <v/>
      </c>
      <c r="D8" s="35" t="str">
        <f t="shared" si="1"/>
        <v/>
      </c>
      <c r="E8" s="28"/>
      <c r="F8" s="29"/>
      <c r="H8" s="53"/>
      <c r="J8" s="28"/>
      <c r="K8" s="29"/>
    </row>
    <row r="9" spans="1:15">
      <c r="A9" s="8"/>
      <c r="B9" s="8"/>
      <c r="C9" s="2" t="str">
        <f t="shared" si="0"/>
        <v/>
      </c>
      <c r="D9" s="35" t="str">
        <f t="shared" si="1"/>
        <v/>
      </c>
      <c r="E9" s="30"/>
      <c r="F9" s="29"/>
      <c r="H9" s="53"/>
      <c r="J9" s="28"/>
      <c r="K9" s="29"/>
    </row>
    <row r="10" spans="1:15">
      <c r="A10" s="8"/>
      <c r="B10" s="8"/>
      <c r="C10" s="2" t="str">
        <f t="shared" si="0"/>
        <v/>
      </c>
      <c r="D10" s="35" t="str">
        <f t="shared" si="1"/>
        <v/>
      </c>
      <c r="E10" s="28"/>
      <c r="F10" s="29"/>
      <c r="H10" s="53"/>
      <c r="J10" s="28"/>
      <c r="K10" s="29"/>
    </row>
    <row r="11" spans="1:15">
      <c r="A11" s="8"/>
      <c r="B11" s="8"/>
      <c r="C11" s="2" t="str">
        <f t="shared" si="0"/>
        <v/>
      </c>
      <c r="D11" s="35" t="str">
        <f t="shared" si="1"/>
        <v/>
      </c>
      <c r="E11" s="28"/>
      <c r="F11" s="29"/>
      <c r="H11" s="53"/>
      <c r="J11" s="28"/>
      <c r="K11" s="29"/>
    </row>
    <row r="12" spans="1:15">
      <c r="A12" s="8"/>
      <c r="B12" s="8"/>
      <c r="C12" s="2" t="str">
        <f t="shared" si="0"/>
        <v/>
      </c>
      <c r="D12" s="35" t="str">
        <f t="shared" si="1"/>
        <v/>
      </c>
      <c r="E12" s="28"/>
      <c r="F12" s="29"/>
      <c r="H12" s="53"/>
      <c r="J12" s="28"/>
      <c r="K12" s="29"/>
    </row>
    <row r="13" spans="1:15">
      <c r="B13" s="8"/>
      <c r="C13" s="2" t="str">
        <f t="shared" si="0"/>
        <v/>
      </c>
      <c r="D13" s="35" t="str">
        <f t="shared" si="1"/>
        <v/>
      </c>
      <c r="E13" s="28"/>
      <c r="F13" s="29"/>
      <c r="H13" s="53"/>
      <c r="J13" s="28"/>
      <c r="K13" s="29"/>
    </row>
    <row r="14" spans="1:15">
      <c r="A14" s="8"/>
      <c r="B14" s="8"/>
      <c r="C14" s="2" t="str">
        <f t="shared" si="0"/>
        <v/>
      </c>
      <c r="D14" s="35" t="str">
        <f t="shared" si="1"/>
        <v/>
      </c>
      <c r="E14" s="28"/>
      <c r="F14" s="29"/>
      <c r="H14" s="53"/>
      <c r="J14" s="28"/>
      <c r="K14" s="29"/>
    </row>
    <row r="15" spans="1:15">
      <c r="B15" s="8"/>
      <c r="C15" s="2" t="str">
        <f t="shared" si="0"/>
        <v/>
      </c>
      <c r="D15" s="35" t="str">
        <f t="shared" si="1"/>
        <v/>
      </c>
      <c r="E15" s="52" t="b">
        <v>1</v>
      </c>
      <c r="F15" s="29"/>
      <c r="H15" s="53"/>
      <c r="J15" s="44" t="s">
        <v>19</v>
      </c>
      <c r="K15" s="45" t="s">
        <v>24</v>
      </c>
    </row>
    <row r="16" spans="1:15" ht="16.5" customHeight="1">
      <c r="B16" s="8"/>
      <c r="C16" s="2" t="str">
        <f t="shared" si="0"/>
        <v/>
      </c>
      <c r="D16" s="35" t="str">
        <f t="shared" si="1"/>
        <v/>
      </c>
      <c r="E16" s="64">
        <f>COUNTIF(A5:A200, "*.jpg")</f>
        <v>0</v>
      </c>
      <c r="F16" s="65"/>
      <c r="H16" s="53"/>
      <c r="J16" s="38"/>
      <c r="K16" s="39" t="b">
        <v>1</v>
      </c>
      <c r="M16" s="54"/>
      <c r="N16" s="54"/>
    </row>
    <row r="17" spans="1:14" ht="15" customHeight="1">
      <c r="B17" s="8"/>
      <c r="C17" s="2" t="str">
        <f t="shared" si="0"/>
        <v/>
      </c>
      <c r="D17" s="35" t="str">
        <f t="shared" si="1"/>
        <v/>
      </c>
      <c r="E17" s="64"/>
      <c r="F17" s="65"/>
      <c r="H17" s="53"/>
      <c r="J17" s="38"/>
      <c r="K17" s="39"/>
      <c r="M17" s="55"/>
      <c r="N17" s="55"/>
    </row>
    <row r="18" spans="1:14" ht="16.5" customHeight="1" thickBot="1">
      <c r="B18" s="8"/>
      <c r="C18" s="2" t="str">
        <f t="shared" si="0"/>
        <v/>
      </c>
      <c r="D18" s="35" t="str">
        <f t="shared" si="1"/>
        <v/>
      </c>
      <c r="E18" s="66"/>
      <c r="F18" s="67"/>
      <c r="H18" s="53"/>
      <c r="I18" s="3" t="s">
        <v>2</v>
      </c>
      <c r="J18" s="40"/>
      <c r="K18" s="41"/>
    </row>
    <row r="19" spans="1:14" ht="15" customHeight="1" thickTop="1">
      <c r="B19" s="8"/>
      <c r="C19" s="2" t="str">
        <f t="shared" si="0"/>
        <v/>
      </c>
      <c r="D19" s="35" t="str">
        <f t="shared" si="1"/>
        <v/>
      </c>
      <c r="G19" s="3" t="s">
        <v>2</v>
      </c>
      <c r="H19" s="53"/>
    </row>
    <row r="20" spans="1:14" ht="15" customHeight="1">
      <c r="A20" s="8"/>
      <c r="B20" s="8"/>
      <c r="C20" s="2" t="str">
        <f t="shared" si="0"/>
        <v/>
      </c>
      <c r="D20" s="35" t="str">
        <f t="shared" si="1"/>
        <v/>
      </c>
      <c r="F20" s="3"/>
      <c r="G20" s="3" t="s">
        <v>2</v>
      </c>
      <c r="H20" s="53"/>
    </row>
    <row r="21" spans="1:14">
      <c r="A21" s="8"/>
      <c r="B21" s="8"/>
      <c r="C21" s="2" t="str">
        <f t="shared" si="0"/>
        <v/>
      </c>
      <c r="D21" s="35" t="str">
        <f t="shared" si="1"/>
        <v/>
      </c>
      <c r="F21" s="3"/>
      <c r="H21" s="53"/>
    </row>
    <row r="22" spans="1:14">
      <c r="A22" s="8"/>
      <c r="B22" s="8"/>
      <c r="C22" s="2" t="str">
        <f t="shared" si="0"/>
        <v/>
      </c>
      <c r="D22" s="35" t="str">
        <f t="shared" si="1"/>
        <v/>
      </c>
      <c r="F22" s="3"/>
      <c r="H22" s="53"/>
    </row>
    <row r="23" spans="1:14">
      <c r="B23" s="8"/>
      <c r="C23" s="2" t="str">
        <f t="shared" si="0"/>
        <v/>
      </c>
      <c r="D23" s="35" t="str">
        <f t="shared" si="1"/>
        <v/>
      </c>
      <c r="F23" s="3"/>
      <c r="G23" s="3" t="s">
        <v>2</v>
      </c>
      <c r="H23" s="53"/>
    </row>
    <row r="24" spans="1:14">
      <c r="A24" s="8"/>
      <c r="B24" s="8"/>
      <c r="C24" s="2" t="str">
        <f t="shared" si="0"/>
        <v/>
      </c>
      <c r="D24" s="35" t="str">
        <f t="shared" si="1"/>
        <v/>
      </c>
      <c r="G24" s="3" t="s">
        <v>2</v>
      </c>
      <c r="H24" s="53"/>
    </row>
    <row r="25" spans="1:14">
      <c r="A25" s="8"/>
      <c r="B25" s="8"/>
      <c r="C25" s="2" t="str">
        <f t="shared" si="0"/>
        <v/>
      </c>
      <c r="D25" s="35" t="str">
        <f t="shared" si="1"/>
        <v/>
      </c>
      <c r="G25" s="3" t="s">
        <v>2</v>
      </c>
      <c r="H25" s="53"/>
    </row>
    <row r="26" spans="1:14">
      <c r="B26" s="8"/>
      <c r="C26" s="2" t="str">
        <f t="shared" si="0"/>
        <v/>
      </c>
      <c r="D26" s="35" t="str">
        <f t="shared" si="1"/>
        <v/>
      </c>
      <c r="H26" s="53"/>
    </row>
    <row r="27" spans="1:14">
      <c r="A27" s="46"/>
      <c r="B27" s="8"/>
      <c r="C27" s="2" t="str">
        <f t="shared" si="0"/>
        <v/>
      </c>
      <c r="D27" s="35" t="str">
        <f t="shared" si="1"/>
        <v/>
      </c>
      <c r="G27" s="3" t="s">
        <v>2</v>
      </c>
      <c r="H27" s="53"/>
    </row>
    <row r="28" spans="1:14">
      <c r="A28" s="8"/>
      <c r="B28" s="8"/>
      <c r="C28" s="2" t="str">
        <f t="shared" si="0"/>
        <v/>
      </c>
      <c r="D28" s="35" t="str">
        <f t="shared" si="1"/>
        <v/>
      </c>
      <c r="G28" s="3" t="s">
        <v>2</v>
      </c>
      <c r="H28" s="53"/>
    </row>
    <row r="29" spans="1:14">
      <c r="A29" s="8"/>
      <c r="B29" s="8"/>
      <c r="C29" s="2" t="str">
        <f t="shared" si="0"/>
        <v/>
      </c>
      <c r="D29" s="35" t="str">
        <f t="shared" si="1"/>
        <v/>
      </c>
      <c r="G29" s="3" t="s">
        <v>2</v>
      </c>
      <c r="H29" s="53"/>
    </row>
    <row r="30" spans="1:14">
      <c r="A30" s="8"/>
      <c r="B30" s="8"/>
      <c r="C30" s="2" t="str">
        <f t="shared" si="0"/>
        <v/>
      </c>
      <c r="D30" s="35" t="str">
        <f t="shared" si="1"/>
        <v/>
      </c>
      <c r="G30" s="3" t="s">
        <v>2</v>
      </c>
      <c r="H30" s="53"/>
    </row>
    <row r="31" spans="1:14">
      <c r="A31" s="8"/>
      <c r="B31" s="8"/>
      <c r="C31" s="2" t="str">
        <f t="shared" si="0"/>
        <v/>
      </c>
      <c r="D31" s="35" t="str">
        <f t="shared" si="1"/>
        <v/>
      </c>
      <c r="G31" s="3" t="s">
        <v>2</v>
      </c>
      <c r="H31" s="53"/>
    </row>
    <row r="32" spans="1:14">
      <c r="A32" s="8"/>
      <c r="B32" s="8"/>
      <c r="C32" s="2" t="str">
        <f t="shared" si="0"/>
        <v/>
      </c>
      <c r="D32" s="35" t="str">
        <f t="shared" si="1"/>
        <v/>
      </c>
      <c r="G32" s="3" t="s">
        <v>2</v>
      </c>
      <c r="H32" s="53"/>
    </row>
    <row r="33" spans="1:8">
      <c r="A33" s="8"/>
      <c r="B33" s="8"/>
      <c r="C33" s="2" t="str">
        <f t="shared" si="0"/>
        <v/>
      </c>
      <c r="D33" s="35" t="str">
        <f t="shared" si="1"/>
        <v/>
      </c>
      <c r="G33" s="3" t="s">
        <v>2</v>
      </c>
      <c r="H33" s="53"/>
    </row>
    <row r="34" spans="1:8">
      <c r="B34" s="8"/>
      <c r="C34" s="2" t="str">
        <f t="shared" si="0"/>
        <v/>
      </c>
      <c r="D34" s="35" t="str">
        <f t="shared" si="1"/>
        <v/>
      </c>
      <c r="G34" s="3" t="s">
        <v>2</v>
      </c>
      <c r="H34" s="53"/>
    </row>
    <row r="35" spans="1:8">
      <c r="A35" s="8"/>
      <c r="B35" s="8"/>
      <c r="C35" s="2" t="str">
        <f t="shared" si="0"/>
        <v/>
      </c>
      <c r="D35" s="35" t="str">
        <f t="shared" si="1"/>
        <v/>
      </c>
      <c r="G35" s="3" t="s">
        <v>2</v>
      </c>
      <c r="H35" s="53"/>
    </row>
    <row r="36" spans="1:8">
      <c r="A36" s="8"/>
      <c r="B36" s="8"/>
      <c r="C36" s="2" t="str">
        <f t="shared" si="0"/>
        <v/>
      </c>
      <c r="D36" s="35" t="str">
        <f t="shared" si="1"/>
        <v/>
      </c>
      <c r="G36" s="3" t="s">
        <v>2</v>
      </c>
      <c r="H36" s="53"/>
    </row>
    <row r="37" spans="1:8">
      <c r="A37" s="8"/>
      <c r="B37" s="8"/>
      <c r="C37" s="2" t="str">
        <f t="shared" ref="C37:C68" si="2">IFERROR(IF(LEN(A37)&gt;0, --LEFT(A37,FIND(".",A37)-1), ""),"")</f>
        <v/>
      </c>
      <c r="D37" s="35" t="str">
        <f t="shared" si="1"/>
        <v/>
      </c>
      <c r="G37" s="3" t="s">
        <v>2</v>
      </c>
      <c r="H37" s="53"/>
    </row>
    <row r="38" spans="1:8">
      <c r="A38" s="8"/>
      <c r="B38" s="8"/>
      <c r="C38" s="2" t="str">
        <f t="shared" si="2"/>
        <v/>
      </c>
      <c r="D38" s="35" t="str">
        <f t="shared" si="1"/>
        <v/>
      </c>
      <c r="G38" s="3" t="s">
        <v>2</v>
      </c>
      <c r="H38" s="53"/>
    </row>
    <row r="39" spans="1:8">
      <c r="A39" s="8"/>
      <c r="B39" s="8"/>
      <c r="C39" s="2" t="str">
        <f t="shared" si="2"/>
        <v/>
      </c>
      <c r="D39" s="35" t="str">
        <f t="shared" si="1"/>
        <v/>
      </c>
      <c r="G39" s="3" t="s">
        <v>2</v>
      </c>
      <c r="H39" s="53"/>
    </row>
    <row r="40" spans="1:8">
      <c r="A40" s="8"/>
      <c r="B40" s="8"/>
      <c r="C40" s="2" t="str">
        <f t="shared" si="2"/>
        <v/>
      </c>
      <c r="D40" s="35" t="str">
        <f t="shared" si="1"/>
        <v/>
      </c>
      <c r="G40" s="3" t="s">
        <v>2</v>
      </c>
      <c r="H40" s="53"/>
    </row>
    <row r="41" spans="1:8">
      <c r="A41" s="8"/>
      <c r="B41" s="8"/>
      <c r="C41" s="2" t="str">
        <f t="shared" si="2"/>
        <v/>
      </c>
      <c r="D41" s="35" t="str">
        <f t="shared" si="1"/>
        <v/>
      </c>
      <c r="G41" s="3" t="s">
        <v>2</v>
      </c>
      <c r="H41" s="53"/>
    </row>
    <row r="42" spans="1:8">
      <c r="A42" s="8"/>
      <c r="B42" s="8"/>
      <c r="C42" s="2" t="str">
        <f t="shared" si="2"/>
        <v/>
      </c>
      <c r="D42" s="35" t="str">
        <f t="shared" si="1"/>
        <v/>
      </c>
      <c r="G42" s="3" t="s">
        <v>2</v>
      </c>
      <c r="H42" s="53"/>
    </row>
    <row r="43" spans="1:8">
      <c r="A43" s="8"/>
      <c r="B43" s="8"/>
      <c r="C43" s="2" t="str">
        <f t="shared" si="2"/>
        <v/>
      </c>
      <c r="D43" s="35" t="str">
        <f t="shared" si="1"/>
        <v/>
      </c>
      <c r="G43" s="3" t="s">
        <v>2</v>
      </c>
      <c r="H43" s="53"/>
    </row>
    <row r="44" spans="1:8">
      <c r="A44" s="8"/>
      <c r="B44" s="8"/>
      <c r="C44" s="2" t="str">
        <f t="shared" si="2"/>
        <v/>
      </c>
      <c r="D44" s="35" t="str">
        <f t="shared" si="1"/>
        <v/>
      </c>
      <c r="G44" s="3" t="s">
        <v>2</v>
      </c>
      <c r="H44" s="53"/>
    </row>
    <row r="45" spans="1:8">
      <c r="A45" s="8"/>
      <c r="B45" s="8"/>
      <c r="C45" s="2" t="str">
        <f t="shared" si="2"/>
        <v/>
      </c>
      <c r="D45" s="35" t="str">
        <f t="shared" si="1"/>
        <v/>
      </c>
      <c r="G45" s="3" t="s">
        <v>2</v>
      </c>
      <c r="H45" s="53"/>
    </row>
    <row r="46" spans="1:8">
      <c r="A46" s="8"/>
      <c r="B46" s="8"/>
      <c r="C46" s="2" t="str">
        <f t="shared" si="2"/>
        <v/>
      </c>
      <c r="D46" s="35" t="str">
        <f t="shared" si="1"/>
        <v/>
      </c>
      <c r="G46" s="3" t="s">
        <v>2</v>
      </c>
      <c r="H46" s="53"/>
    </row>
    <row r="47" spans="1:8">
      <c r="A47" s="8"/>
      <c r="B47" s="8"/>
      <c r="C47" s="2" t="str">
        <f t="shared" si="2"/>
        <v/>
      </c>
      <c r="D47" s="35" t="str">
        <f t="shared" si="1"/>
        <v/>
      </c>
      <c r="G47" s="3" t="s">
        <v>2</v>
      </c>
      <c r="H47" s="53"/>
    </row>
    <row r="48" spans="1:8">
      <c r="B48" s="8"/>
      <c r="C48" s="2" t="str">
        <f t="shared" si="2"/>
        <v/>
      </c>
      <c r="D48" s="35" t="str">
        <f t="shared" si="1"/>
        <v/>
      </c>
      <c r="G48" s="3" t="s">
        <v>2</v>
      </c>
      <c r="H48" s="53"/>
    </row>
    <row r="49" spans="1:8">
      <c r="B49" s="8"/>
      <c r="C49" s="2" t="str">
        <f t="shared" si="2"/>
        <v/>
      </c>
      <c r="D49" s="35" t="str">
        <f t="shared" si="1"/>
        <v/>
      </c>
      <c r="G49" s="3" t="s">
        <v>2</v>
      </c>
      <c r="H49" s="53"/>
    </row>
    <row r="50" spans="1:8">
      <c r="A50" s="8"/>
      <c r="B50" s="8"/>
      <c r="C50" s="2" t="str">
        <f t="shared" si="2"/>
        <v/>
      </c>
      <c r="D50" s="35" t="str">
        <f t="shared" si="1"/>
        <v/>
      </c>
      <c r="G50" s="3" t="s">
        <v>2</v>
      </c>
      <c r="H50" s="53"/>
    </row>
    <row r="51" spans="1:8">
      <c r="A51" s="8"/>
      <c r="B51" s="8"/>
      <c r="C51" s="2" t="str">
        <f t="shared" si="2"/>
        <v/>
      </c>
      <c r="D51" s="35" t="str">
        <f t="shared" si="1"/>
        <v/>
      </c>
      <c r="G51" s="3" t="s">
        <v>2</v>
      </c>
      <c r="H51" s="53"/>
    </row>
    <row r="52" spans="1:8">
      <c r="B52" s="8"/>
      <c r="C52" s="2" t="str">
        <f t="shared" si="2"/>
        <v/>
      </c>
      <c r="D52" s="35" t="str">
        <f t="shared" si="1"/>
        <v/>
      </c>
      <c r="G52" s="3" t="s">
        <v>2</v>
      </c>
      <c r="H52" s="53"/>
    </row>
    <row r="53" spans="1:8">
      <c r="B53" s="8"/>
      <c r="C53" s="2" t="str">
        <f t="shared" si="2"/>
        <v/>
      </c>
      <c r="D53" s="35" t="str">
        <f t="shared" si="1"/>
        <v/>
      </c>
      <c r="G53" s="3" t="s">
        <v>2</v>
      </c>
      <c r="H53" s="53"/>
    </row>
    <row r="54" spans="1:8">
      <c r="B54" s="8"/>
      <c r="C54" s="2" t="str">
        <f t="shared" si="2"/>
        <v/>
      </c>
      <c r="D54" s="35" t="str">
        <f t="shared" si="1"/>
        <v/>
      </c>
      <c r="G54" s="3" t="s">
        <v>2</v>
      </c>
      <c r="H54" s="53"/>
    </row>
    <row r="55" spans="1:8">
      <c r="B55" s="8"/>
      <c r="C55" s="2" t="str">
        <f t="shared" si="2"/>
        <v/>
      </c>
      <c r="D55" s="35" t="str">
        <f t="shared" si="1"/>
        <v/>
      </c>
      <c r="G55" s="3" t="s">
        <v>2</v>
      </c>
      <c r="H55" s="53"/>
    </row>
    <row r="56" spans="1:8">
      <c r="B56" s="8"/>
      <c r="C56" s="2" t="str">
        <f t="shared" si="2"/>
        <v/>
      </c>
      <c r="D56" s="35" t="str">
        <f t="shared" si="1"/>
        <v/>
      </c>
      <c r="G56" s="3" t="s">
        <v>2</v>
      </c>
      <c r="H56" s="53"/>
    </row>
    <row r="57" spans="1:8">
      <c r="B57" s="8"/>
      <c r="C57" s="2" t="str">
        <f t="shared" si="2"/>
        <v/>
      </c>
      <c r="D57" s="35" t="str">
        <f t="shared" si="1"/>
        <v/>
      </c>
      <c r="G57" s="3" t="s">
        <v>2</v>
      </c>
      <c r="H57" s="53"/>
    </row>
    <row r="58" spans="1:8">
      <c r="B58" s="8"/>
      <c r="C58" s="2" t="str">
        <f t="shared" si="2"/>
        <v/>
      </c>
      <c r="D58" s="35" t="str">
        <f t="shared" si="1"/>
        <v/>
      </c>
      <c r="G58" s="3" t="s">
        <v>2</v>
      </c>
      <c r="H58" s="53"/>
    </row>
    <row r="59" spans="1:8">
      <c r="B59" s="8"/>
      <c r="C59" s="2" t="str">
        <f t="shared" si="2"/>
        <v/>
      </c>
      <c r="D59" s="35" t="str">
        <f t="shared" si="1"/>
        <v/>
      </c>
      <c r="G59" s="3" t="s">
        <v>2</v>
      </c>
      <c r="H59" s="53"/>
    </row>
    <row r="60" spans="1:8">
      <c r="B60" s="8"/>
      <c r="C60" s="2" t="str">
        <f t="shared" si="2"/>
        <v/>
      </c>
      <c r="D60" s="35" t="str">
        <f t="shared" si="1"/>
        <v/>
      </c>
      <c r="G60" s="3" t="s">
        <v>2</v>
      </c>
      <c r="H60" s="53"/>
    </row>
    <row r="61" spans="1:8">
      <c r="B61" s="8"/>
      <c r="C61" s="2" t="str">
        <f t="shared" si="2"/>
        <v/>
      </c>
      <c r="D61" s="35" t="str">
        <f t="shared" si="1"/>
        <v/>
      </c>
      <c r="G61" s="3" t="s">
        <v>2</v>
      </c>
      <c r="H61" s="53"/>
    </row>
    <row r="62" spans="1:8">
      <c r="B62" s="8"/>
      <c r="C62" s="2" t="str">
        <f t="shared" si="2"/>
        <v/>
      </c>
      <c r="D62" s="35" t="str">
        <f t="shared" si="1"/>
        <v/>
      </c>
      <c r="G62" s="3" t="s">
        <v>2</v>
      </c>
      <c r="H62" s="53"/>
    </row>
    <row r="63" spans="1:8">
      <c r="B63" s="8"/>
      <c r="C63" s="2" t="str">
        <f t="shared" si="2"/>
        <v/>
      </c>
      <c r="D63" s="35" t="str">
        <f t="shared" si="1"/>
        <v/>
      </c>
      <c r="G63" s="3" t="s">
        <v>2</v>
      </c>
      <c r="H63" s="53"/>
    </row>
    <row r="64" spans="1:8">
      <c r="B64" s="8"/>
      <c r="C64" s="2" t="str">
        <f t="shared" si="2"/>
        <v/>
      </c>
      <c r="D64" s="35" t="str">
        <f t="shared" si="1"/>
        <v/>
      </c>
      <c r="G64" s="3" t="s">
        <v>2</v>
      </c>
      <c r="H64" s="53"/>
    </row>
    <row r="65" spans="2:8">
      <c r="B65" s="8"/>
      <c r="C65" s="2" t="str">
        <f t="shared" si="2"/>
        <v/>
      </c>
      <c r="D65" s="35" t="str">
        <f t="shared" si="1"/>
        <v/>
      </c>
      <c r="G65" s="3" t="s">
        <v>2</v>
      </c>
      <c r="H65" s="53"/>
    </row>
    <row r="66" spans="2:8">
      <c r="B66" s="8"/>
      <c r="C66" s="2" t="str">
        <f t="shared" si="2"/>
        <v/>
      </c>
      <c r="D66" s="35" t="str">
        <f t="shared" si="1"/>
        <v/>
      </c>
      <c r="G66" s="3" t="s">
        <v>2</v>
      </c>
      <c r="H66" s="53"/>
    </row>
    <row r="67" spans="2:8">
      <c r="B67" s="8"/>
      <c r="C67" s="2" t="str">
        <f t="shared" si="2"/>
        <v/>
      </c>
      <c r="D67" s="35" t="str">
        <f t="shared" si="1"/>
        <v/>
      </c>
      <c r="G67" s="3" t="s">
        <v>2</v>
      </c>
      <c r="H67" s="53"/>
    </row>
    <row r="68" spans="2:8">
      <c r="B68" s="8"/>
      <c r="C68" s="2" t="str">
        <f t="shared" si="2"/>
        <v/>
      </c>
      <c r="D68" s="35" t="str">
        <f t="shared" si="1"/>
        <v/>
      </c>
      <c r="G68" s="3" t="s">
        <v>2</v>
      </c>
      <c r="H68" s="53"/>
    </row>
    <row r="69" spans="2:8">
      <c r="B69" s="8"/>
      <c r="C69" s="2" t="str">
        <f t="shared" ref="C69:C100" si="3">IFERROR(IF(LEN(A69)&gt;0, --LEFT(A69,FIND(".",A69)-1), ""),"")</f>
        <v/>
      </c>
      <c r="D69" s="35" t="str">
        <f t="shared" si="1"/>
        <v/>
      </c>
      <c r="G69" s="3" t="s">
        <v>2</v>
      </c>
      <c r="H69" s="53"/>
    </row>
    <row r="70" spans="2:8">
      <c r="B70" s="8"/>
      <c r="C70" s="2" t="str">
        <f t="shared" si="3"/>
        <v/>
      </c>
      <c r="D70" s="35" t="str">
        <f t="shared" ref="D70:D133" si="4">IF(LEN(A70)&gt;0,ROW(A67) + IF($E$4="Reverse", $F$4, 0) &amp; SUBSTITUTE($F$7,"*",""), "")</f>
        <v/>
      </c>
      <c r="G70" s="3" t="s">
        <v>2</v>
      </c>
      <c r="H70" s="53"/>
    </row>
    <row r="71" spans="2:8">
      <c r="B71" s="8"/>
      <c r="C71" s="2" t="str">
        <f t="shared" si="3"/>
        <v/>
      </c>
      <c r="D71" s="35" t="str">
        <f t="shared" si="4"/>
        <v/>
      </c>
      <c r="G71" s="3" t="s">
        <v>2</v>
      </c>
      <c r="H71" s="53"/>
    </row>
    <row r="72" spans="2:8">
      <c r="B72" s="8"/>
      <c r="C72" s="2" t="str">
        <f t="shared" si="3"/>
        <v/>
      </c>
      <c r="D72" s="35" t="str">
        <f t="shared" si="4"/>
        <v/>
      </c>
      <c r="G72" s="3" t="s">
        <v>2</v>
      </c>
      <c r="H72" s="53"/>
    </row>
    <row r="73" spans="2:8">
      <c r="B73" s="8"/>
      <c r="C73" s="2" t="str">
        <f t="shared" si="3"/>
        <v/>
      </c>
      <c r="D73" s="35" t="str">
        <f t="shared" si="4"/>
        <v/>
      </c>
      <c r="G73" s="3" t="s">
        <v>2</v>
      </c>
      <c r="H73" s="53"/>
    </row>
    <row r="74" spans="2:8">
      <c r="B74" s="8"/>
      <c r="C74" s="2" t="str">
        <f t="shared" si="3"/>
        <v/>
      </c>
      <c r="D74" s="35" t="str">
        <f t="shared" si="4"/>
        <v/>
      </c>
      <c r="G74" s="3" t="s">
        <v>2</v>
      </c>
      <c r="H74" s="53"/>
    </row>
    <row r="75" spans="2:8">
      <c r="B75" s="8"/>
      <c r="C75" s="2" t="str">
        <f t="shared" si="3"/>
        <v/>
      </c>
      <c r="D75" s="35" t="str">
        <f t="shared" si="4"/>
        <v/>
      </c>
      <c r="G75" s="3" t="s">
        <v>2</v>
      </c>
      <c r="H75" s="53"/>
    </row>
    <row r="76" spans="2:8">
      <c r="B76" s="8"/>
      <c r="C76" s="2" t="str">
        <f t="shared" si="3"/>
        <v/>
      </c>
      <c r="D76" s="35" t="str">
        <f t="shared" si="4"/>
        <v/>
      </c>
      <c r="G76" s="3" t="s">
        <v>2</v>
      </c>
      <c r="H76" s="53"/>
    </row>
    <row r="77" spans="2:8">
      <c r="B77" s="8"/>
      <c r="C77" s="2" t="str">
        <f t="shared" si="3"/>
        <v/>
      </c>
      <c r="D77" s="35" t="str">
        <f t="shared" si="4"/>
        <v/>
      </c>
      <c r="G77" s="3" t="s">
        <v>2</v>
      </c>
      <c r="H77" s="53"/>
    </row>
    <row r="78" spans="2:8">
      <c r="B78" s="8"/>
      <c r="C78" s="2" t="str">
        <f t="shared" si="3"/>
        <v/>
      </c>
      <c r="D78" s="35" t="str">
        <f t="shared" si="4"/>
        <v/>
      </c>
      <c r="G78" s="3" t="s">
        <v>2</v>
      </c>
      <c r="H78" s="53"/>
    </row>
    <row r="79" spans="2:8">
      <c r="B79" s="8"/>
      <c r="C79" s="2" t="str">
        <f t="shared" si="3"/>
        <v/>
      </c>
      <c r="D79" s="35" t="str">
        <f t="shared" si="4"/>
        <v/>
      </c>
      <c r="G79" s="3" t="s">
        <v>2</v>
      </c>
      <c r="H79" s="53"/>
    </row>
    <row r="80" spans="2:8">
      <c r="B80" s="8"/>
      <c r="C80" s="2" t="str">
        <f t="shared" si="3"/>
        <v/>
      </c>
      <c r="D80" s="35" t="str">
        <f t="shared" si="4"/>
        <v/>
      </c>
      <c r="G80" s="3" t="s">
        <v>2</v>
      </c>
      <c r="H80" s="53"/>
    </row>
    <row r="81" spans="2:8">
      <c r="B81" s="8"/>
      <c r="C81" s="2" t="str">
        <f t="shared" si="3"/>
        <v/>
      </c>
      <c r="D81" s="35" t="str">
        <f t="shared" si="4"/>
        <v/>
      </c>
      <c r="G81" s="3" t="s">
        <v>2</v>
      </c>
      <c r="H81" s="53"/>
    </row>
    <row r="82" spans="2:8">
      <c r="B82" s="8"/>
      <c r="C82" s="2" t="str">
        <f t="shared" si="3"/>
        <v/>
      </c>
      <c r="D82" s="35" t="str">
        <f t="shared" si="4"/>
        <v/>
      </c>
      <c r="G82" s="3" t="s">
        <v>2</v>
      </c>
      <c r="H82" s="53"/>
    </row>
    <row r="83" spans="2:8">
      <c r="B83" s="8"/>
      <c r="C83" s="2" t="str">
        <f t="shared" si="3"/>
        <v/>
      </c>
      <c r="D83" s="35" t="str">
        <f t="shared" si="4"/>
        <v/>
      </c>
      <c r="G83" s="3" t="s">
        <v>2</v>
      </c>
      <c r="H83" s="53"/>
    </row>
    <row r="84" spans="2:8">
      <c r="B84" s="8"/>
      <c r="C84" s="2" t="str">
        <f t="shared" si="3"/>
        <v/>
      </c>
      <c r="D84" s="35" t="str">
        <f t="shared" si="4"/>
        <v/>
      </c>
      <c r="G84" s="3" t="s">
        <v>2</v>
      </c>
      <c r="H84" s="53"/>
    </row>
    <row r="85" spans="2:8">
      <c r="B85" s="8"/>
      <c r="C85" s="2" t="str">
        <f t="shared" si="3"/>
        <v/>
      </c>
      <c r="D85" s="35" t="str">
        <f t="shared" si="4"/>
        <v/>
      </c>
      <c r="G85" s="3" t="s">
        <v>2</v>
      </c>
      <c r="H85" s="53"/>
    </row>
    <row r="86" spans="2:8">
      <c r="B86" s="8"/>
      <c r="C86" s="2" t="str">
        <f t="shared" si="3"/>
        <v/>
      </c>
      <c r="D86" s="35" t="str">
        <f t="shared" si="4"/>
        <v/>
      </c>
      <c r="G86" s="3" t="s">
        <v>2</v>
      </c>
      <c r="H86" s="53"/>
    </row>
    <row r="87" spans="2:8">
      <c r="B87" s="8"/>
      <c r="C87" s="2" t="str">
        <f t="shared" si="3"/>
        <v/>
      </c>
      <c r="D87" s="35" t="str">
        <f t="shared" si="4"/>
        <v/>
      </c>
      <c r="G87" s="3" t="s">
        <v>2</v>
      </c>
      <c r="H87" s="53"/>
    </row>
    <row r="88" spans="2:8">
      <c r="B88" s="8"/>
      <c r="C88" s="2" t="str">
        <f t="shared" si="3"/>
        <v/>
      </c>
      <c r="D88" s="35" t="str">
        <f t="shared" si="4"/>
        <v/>
      </c>
      <c r="G88" s="3" t="s">
        <v>2</v>
      </c>
      <c r="H88" s="53"/>
    </row>
    <row r="89" spans="2:8">
      <c r="B89" s="8"/>
      <c r="C89" s="2" t="str">
        <f t="shared" si="3"/>
        <v/>
      </c>
      <c r="D89" s="35" t="str">
        <f t="shared" si="4"/>
        <v/>
      </c>
      <c r="G89" s="3" t="s">
        <v>2</v>
      </c>
      <c r="H89" s="53"/>
    </row>
    <row r="90" spans="2:8">
      <c r="B90" s="8"/>
      <c r="C90" s="2" t="str">
        <f t="shared" si="3"/>
        <v/>
      </c>
      <c r="D90" s="35" t="str">
        <f t="shared" si="4"/>
        <v/>
      </c>
      <c r="G90" s="3" t="s">
        <v>2</v>
      </c>
      <c r="H90" s="53"/>
    </row>
    <row r="91" spans="2:8">
      <c r="B91" s="8"/>
      <c r="C91" s="2" t="str">
        <f t="shared" si="3"/>
        <v/>
      </c>
      <c r="D91" s="35" t="str">
        <f t="shared" si="4"/>
        <v/>
      </c>
      <c r="G91" s="3" t="s">
        <v>2</v>
      </c>
      <c r="H91" s="53"/>
    </row>
    <row r="92" spans="2:8">
      <c r="B92" s="8"/>
      <c r="C92" s="2" t="str">
        <f t="shared" si="3"/>
        <v/>
      </c>
      <c r="D92" s="35" t="str">
        <f t="shared" si="4"/>
        <v/>
      </c>
      <c r="G92" s="3" t="s">
        <v>2</v>
      </c>
      <c r="H92" s="53"/>
    </row>
    <row r="93" spans="2:8">
      <c r="B93" s="8"/>
      <c r="C93" s="2" t="str">
        <f t="shared" si="3"/>
        <v/>
      </c>
      <c r="D93" s="35" t="str">
        <f t="shared" si="4"/>
        <v/>
      </c>
      <c r="G93" s="3" t="s">
        <v>2</v>
      </c>
      <c r="H93" s="53"/>
    </row>
    <row r="94" spans="2:8">
      <c r="B94" s="8"/>
      <c r="C94" s="2" t="str">
        <f t="shared" si="3"/>
        <v/>
      </c>
      <c r="D94" s="35" t="str">
        <f t="shared" si="4"/>
        <v/>
      </c>
      <c r="G94" s="3" t="s">
        <v>2</v>
      </c>
      <c r="H94" s="53"/>
    </row>
    <row r="95" spans="2:8">
      <c r="B95" s="8"/>
      <c r="C95" s="2" t="str">
        <f t="shared" si="3"/>
        <v/>
      </c>
      <c r="D95" s="35" t="str">
        <f t="shared" si="4"/>
        <v/>
      </c>
      <c r="G95" s="3" t="s">
        <v>2</v>
      </c>
      <c r="H95" s="53"/>
    </row>
    <row r="96" spans="2:8">
      <c r="B96" s="8"/>
      <c r="C96" s="2" t="str">
        <f t="shared" si="3"/>
        <v/>
      </c>
      <c r="D96" s="35" t="str">
        <f t="shared" si="4"/>
        <v/>
      </c>
      <c r="G96" s="3" t="s">
        <v>2</v>
      </c>
      <c r="H96" s="53"/>
    </row>
    <row r="97" spans="2:8">
      <c r="B97" s="8"/>
      <c r="C97" s="2" t="str">
        <f t="shared" si="3"/>
        <v/>
      </c>
      <c r="D97" s="35" t="str">
        <f t="shared" si="4"/>
        <v/>
      </c>
      <c r="G97" s="3" t="s">
        <v>2</v>
      </c>
      <c r="H97" s="53"/>
    </row>
    <row r="98" spans="2:8">
      <c r="B98" s="8"/>
      <c r="C98" s="2" t="str">
        <f t="shared" si="3"/>
        <v/>
      </c>
      <c r="D98" s="35" t="str">
        <f t="shared" si="4"/>
        <v/>
      </c>
      <c r="G98" s="3" t="s">
        <v>2</v>
      </c>
      <c r="H98" s="53"/>
    </row>
    <row r="99" spans="2:8">
      <c r="B99" s="8"/>
      <c r="C99" s="2" t="str">
        <f t="shared" si="3"/>
        <v/>
      </c>
      <c r="D99" s="35" t="str">
        <f t="shared" si="4"/>
        <v/>
      </c>
      <c r="G99" s="3" t="s">
        <v>2</v>
      </c>
      <c r="H99" s="53"/>
    </row>
    <row r="100" spans="2:8">
      <c r="B100" s="8"/>
      <c r="C100" s="2" t="str">
        <f t="shared" si="3"/>
        <v/>
      </c>
      <c r="D100" s="35" t="str">
        <f t="shared" si="4"/>
        <v/>
      </c>
      <c r="G100" s="3" t="s">
        <v>2</v>
      </c>
      <c r="H100" s="53"/>
    </row>
    <row r="101" spans="2:8">
      <c r="B101" s="8"/>
      <c r="C101" s="2" t="str">
        <f t="shared" ref="C101:C132" si="5">IFERROR(IF(LEN(A101)&gt;0, --LEFT(A101,FIND(".",A101)-1), ""),"")</f>
        <v/>
      </c>
      <c r="D101" s="35" t="str">
        <f t="shared" si="4"/>
        <v/>
      </c>
      <c r="G101" s="3" t="s">
        <v>2</v>
      </c>
      <c r="H101" s="53"/>
    </row>
    <row r="102" spans="2:8">
      <c r="B102" s="8"/>
      <c r="C102" s="2" t="str">
        <f t="shared" si="5"/>
        <v/>
      </c>
      <c r="D102" s="35" t="str">
        <f t="shared" si="4"/>
        <v/>
      </c>
      <c r="G102" s="3" t="s">
        <v>2</v>
      </c>
      <c r="H102" s="53"/>
    </row>
    <row r="103" spans="2:8">
      <c r="B103" s="8"/>
      <c r="C103" s="2" t="str">
        <f t="shared" si="5"/>
        <v/>
      </c>
      <c r="D103" s="35" t="str">
        <f t="shared" si="4"/>
        <v/>
      </c>
      <c r="G103" s="3" t="s">
        <v>2</v>
      </c>
      <c r="H103" s="53"/>
    </row>
    <row r="104" spans="2:8">
      <c r="B104" s="8"/>
      <c r="C104" s="2" t="str">
        <f t="shared" si="5"/>
        <v/>
      </c>
      <c r="D104" s="35" t="str">
        <f t="shared" si="4"/>
        <v/>
      </c>
      <c r="G104" s="3" t="s">
        <v>2</v>
      </c>
      <c r="H104" s="53"/>
    </row>
    <row r="105" spans="2:8">
      <c r="B105" s="8"/>
      <c r="C105" s="2" t="str">
        <f t="shared" si="5"/>
        <v/>
      </c>
      <c r="D105" s="35" t="str">
        <f t="shared" si="4"/>
        <v/>
      </c>
      <c r="G105" s="3" t="s">
        <v>2</v>
      </c>
      <c r="H105" s="53"/>
    </row>
    <row r="106" spans="2:8">
      <c r="B106" s="8"/>
      <c r="C106" s="2" t="str">
        <f t="shared" si="5"/>
        <v/>
      </c>
      <c r="D106" s="35" t="str">
        <f t="shared" si="4"/>
        <v/>
      </c>
      <c r="G106" s="3" t="s">
        <v>2</v>
      </c>
      <c r="H106" s="53"/>
    </row>
    <row r="107" spans="2:8">
      <c r="B107" s="8"/>
      <c r="C107" s="2" t="str">
        <f t="shared" si="5"/>
        <v/>
      </c>
      <c r="D107" s="35" t="str">
        <f t="shared" si="4"/>
        <v/>
      </c>
      <c r="G107" s="3" t="s">
        <v>2</v>
      </c>
      <c r="H107" s="53"/>
    </row>
    <row r="108" spans="2:8">
      <c r="B108" s="8"/>
      <c r="C108" s="2" t="str">
        <f t="shared" si="5"/>
        <v/>
      </c>
      <c r="D108" s="35" t="str">
        <f t="shared" si="4"/>
        <v/>
      </c>
      <c r="G108" s="3" t="s">
        <v>2</v>
      </c>
      <c r="H108" s="53"/>
    </row>
    <row r="109" spans="2:8">
      <c r="B109" s="8"/>
      <c r="C109" s="2" t="str">
        <f t="shared" si="5"/>
        <v/>
      </c>
      <c r="D109" s="35" t="str">
        <f t="shared" si="4"/>
        <v/>
      </c>
      <c r="G109" s="3" t="s">
        <v>2</v>
      </c>
      <c r="H109" s="53"/>
    </row>
    <row r="110" spans="2:8">
      <c r="B110" s="8"/>
      <c r="C110" s="2" t="str">
        <f t="shared" si="5"/>
        <v/>
      </c>
      <c r="D110" s="35" t="str">
        <f t="shared" si="4"/>
        <v/>
      </c>
      <c r="G110" s="3" t="s">
        <v>2</v>
      </c>
      <c r="H110" s="53"/>
    </row>
    <row r="111" spans="2:8">
      <c r="B111" s="8"/>
      <c r="C111" s="2" t="str">
        <f t="shared" si="5"/>
        <v/>
      </c>
      <c r="D111" s="35" t="str">
        <f t="shared" si="4"/>
        <v/>
      </c>
      <c r="G111" s="3" t="s">
        <v>2</v>
      </c>
      <c r="H111" s="53"/>
    </row>
    <row r="112" spans="2:8">
      <c r="B112" s="8"/>
      <c r="C112" s="2" t="str">
        <f t="shared" si="5"/>
        <v/>
      </c>
      <c r="D112" s="35" t="str">
        <f t="shared" si="4"/>
        <v/>
      </c>
      <c r="G112" s="3" t="s">
        <v>2</v>
      </c>
      <c r="H112" s="53"/>
    </row>
    <row r="113" spans="2:8">
      <c r="B113" s="8"/>
      <c r="C113" s="2" t="str">
        <f t="shared" si="5"/>
        <v/>
      </c>
      <c r="D113" s="35" t="str">
        <f t="shared" si="4"/>
        <v/>
      </c>
      <c r="G113" s="3" t="s">
        <v>2</v>
      </c>
      <c r="H113" s="53"/>
    </row>
    <row r="114" spans="2:8">
      <c r="B114" s="8"/>
      <c r="C114" s="2" t="str">
        <f t="shared" si="5"/>
        <v/>
      </c>
      <c r="D114" s="35" t="str">
        <f t="shared" si="4"/>
        <v/>
      </c>
      <c r="G114" s="3" t="s">
        <v>2</v>
      </c>
      <c r="H114" s="53"/>
    </row>
    <row r="115" spans="2:8">
      <c r="B115" s="8"/>
      <c r="C115" s="2" t="str">
        <f t="shared" si="5"/>
        <v/>
      </c>
      <c r="D115" s="35" t="str">
        <f t="shared" si="4"/>
        <v/>
      </c>
      <c r="G115" s="3" t="s">
        <v>2</v>
      </c>
      <c r="H115" s="53"/>
    </row>
    <row r="116" spans="2:8">
      <c r="B116" s="8"/>
      <c r="C116" s="2" t="str">
        <f t="shared" si="5"/>
        <v/>
      </c>
      <c r="D116" s="35" t="str">
        <f t="shared" si="4"/>
        <v/>
      </c>
      <c r="G116" s="3" t="s">
        <v>2</v>
      </c>
      <c r="H116" s="53"/>
    </row>
    <row r="117" spans="2:8">
      <c r="B117" s="8"/>
      <c r="C117" s="2" t="str">
        <f t="shared" si="5"/>
        <v/>
      </c>
      <c r="D117" s="35" t="str">
        <f t="shared" si="4"/>
        <v/>
      </c>
      <c r="G117" s="3" t="s">
        <v>2</v>
      </c>
      <c r="H117" s="53"/>
    </row>
    <row r="118" spans="2:8">
      <c r="B118" s="8"/>
      <c r="C118" s="2" t="str">
        <f t="shared" si="5"/>
        <v/>
      </c>
      <c r="D118" s="35" t="str">
        <f t="shared" si="4"/>
        <v/>
      </c>
      <c r="G118" s="3" t="s">
        <v>2</v>
      </c>
      <c r="H118" s="53"/>
    </row>
    <row r="119" spans="2:8">
      <c r="B119" s="8"/>
      <c r="C119" s="2" t="str">
        <f t="shared" si="5"/>
        <v/>
      </c>
      <c r="D119" s="35" t="str">
        <f t="shared" si="4"/>
        <v/>
      </c>
      <c r="G119" s="3" t="s">
        <v>2</v>
      </c>
      <c r="H119" s="53"/>
    </row>
    <row r="120" spans="2:8">
      <c r="B120" s="8"/>
      <c r="C120" s="2" t="str">
        <f t="shared" si="5"/>
        <v/>
      </c>
      <c r="D120" s="35" t="str">
        <f t="shared" si="4"/>
        <v/>
      </c>
      <c r="G120" s="3" t="s">
        <v>2</v>
      </c>
      <c r="H120" s="53"/>
    </row>
    <row r="121" spans="2:8">
      <c r="B121" s="8"/>
      <c r="C121" s="2" t="str">
        <f t="shared" si="5"/>
        <v/>
      </c>
      <c r="D121" s="35" t="str">
        <f t="shared" si="4"/>
        <v/>
      </c>
      <c r="G121" s="3" t="s">
        <v>2</v>
      </c>
      <c r="H121" s="53"/>
    </row>
    <row r="122" spans="2:8">
      <c r="B122" s="8"/>
      <c r="C122" s="2" t="str">
        <f t="shared" si="5"/>
        <v/>
      </c>
      <c r="D122" s="35" t="str">
        <f t="shared" si="4"/>
        <v/>
      </c>
      <c r="G122" s="3" t="s">
        <v>2</v>
      </c>
      <c r="H122" s="53"/>
    </row>
    <row r="123" spans="2:8">
      <c r="B123" s="8"/>
      <c r="C123" s="2" t="str">
        <f t="shared" si="5"/>
        <v/>
      </c>
      <c r="D123" s="35" t="str">
        <f t="shared" si="4"/>
        <v/>
      </c>
      <c r="G123" s="3" t="s">
        <v>2</v>
      </c>
      <c r="H123" s="53"/>
    </row>
    <row r="124" spans="2:8">
      <c r="B124" s="8"/>
      <c r="C124" s="2" t="str">
        <f t="shared" si="5"/>
        <v/>
      </c>
      <c r="D124" s="35" t="str">
        <f t="shared" si="4"/>
        <v/>
      </c>
      <c r="G124" s="3" t="s">
        <v>2</v>
      </c>
      <c r="H124" s="53"/>
    </row>
    <row r="125" spans="2:8">
      <c r="B125" s="8"/>
      <c r="C125" s="2" t="str">
        <f t="shared" si="5"/>
        <v/>
      </c>
      <c r="D125" s="35" t="str">
        <f t="shared" si="4"/>
        <v/>
      </c>
      <c r="G125" s="3" t="s">
        <v>2</v>
      </c>
      <c r="H125" s="53"/>
    </row>
    <row r="126" spans="2:8">
      <c r="B126" s="8"/>
      <c r="C126" s="2" t="str">
        <f t="shared" si="5"/>
        <v/>
      </c>
      <c r="D126" s="35" t="str">
        <f t="shared" si="4"/>
        <v/>
      </c>
      <c r="G126" s="3" t="s">
        <v>2</v>
      </c>
      <c r="H126" s="53"/>
    </row>
    <row r="127" spans="2:8">
      <c r="B127" s="8"/>
      <c r="C127" s="2" t="str">
        <f t="shared" si="5"/>
        <v/>
      </c>
      <c r="D127" s="35" t="str">
        <f t="shared" si="4"/>
        <v/>
      </c>
      <c r="G127" s="3" t="s">
        <v>2</v>
      </c>
      <c r="H127" s="53"/>
    </row>
    <row r="128" spans="2:8">
      <c r="B128" s="8"/>
      <c r="C128" s="2" t="str">
        <f t="shared" si="5"/>
        <v/>
      </c>
      <c r="D128" s="35" t="str">
        <f t="shared" si="4"/>
        <v/>
      </c>
      <c r="G128" s="3" t="s">
        <v>2</v>
      </c>
      <c r="H128" s="53"/>
    </row>
    <row r="129" spans="2:8">
      <c r="B129" s="8"/>
      <c r="C129" s="2" t="str">
        <f t="shared" si="5"/>
        <v/>
      </c>
      <c r="D129" s="35" t="str">
        <f t="shared" si="4"/>
        <v/>
      </c>
      <c r="G129" s="3" t="s">
        <v>2</v>
      </c>
      <c r="H129" s="53"/>
    </row>
    <row r="130" spans="2:8">
      <c r="B130" s="8"/>
      <c r="C130" s="2" t="str">
        <f t="shared" si="5"/>
        <v/>
      </c>
      <c r="D130" s="35" t="str">
        <f t="shared" si="4"/>
        <v/>
      </c>
      <c r="G130" s="3" t="s">
        <v>2</v>
      </c>
      <c r="H130" s="53"/>
    </row>
    <row r="131" spans="2:8">
      <c r="B131" s="8"/>
      <c r="C131" s="2" t="str">
        <f t="shared" si="5"/>
        <v/>
      </c>
      <c r="D131" s="35" t="str">
        <f t="shared" si="4"/>
        <v/>
      </c>
      <c r="G131" s="3" t="s">
        <v>2</v>
      </c>
      <c r="H131" s="53"/>
    </row>
    <row r="132" spans="2:8">
      <c r="B132" s="8"/>
      <c r="C132" s="2" t="str">
        <f t="shared" si="5"/>
        <v/>
      </c>
      <c r="D132" s="35" t="str">
        <f t="shared" si="4"/>
        <v/>
      </c>
      <c r="G132" s="3" t="s">
        <v>2</v>
      </c>
      <c r="H132" s="53"/>
    </row>
    <row r="133" spans="2:8">
      <c r="B133" s="8"/>
      <c r="C133" s="2" t="str">
        <f t="shared" ref="C133:C164" si="6">IFERROR(IF(LEN(A133)&gt;0, --LEFT(A133,FIND(".",A133)-1), ""),"")</f>
        <v/>
      </c>
      <c r="D133" s="35" t="str">
        <f t="shared" si="4"/>
        <v/>
      </c>
      <c r="G133" s="3" t="s">
        <v>2</v>
      </c>
      <c r="H133" s="53"/>
    </row>
    <row r="134" spans="2:8">
      <c r="B134" s="8"/>
      <c r="C134" s="2" t="str">
        <f t="shared" si="6"/>
        <v/>
      </c>
      <c r="D134" s="35" t="str">
        <f t="shared" ref="D134:D197" si="7">IF(LEN(A134)&gt;0,ROW(A131) + IF($E$4="Reverse", $F$4, 0) &amp; SUBSTITUTE($F$7,"*",""), "")</f>
        <v/>
      </c>
      <c r="G134" s="3" t="s">
        <v>2</v>
      </c>
      <c r="H134" s="53"/>
    </row>
    <row r="135" spans="2:8">
      <c r="B135" s="8"/>
      <c r="C135" s="2" t="str">
        <f t="shared" si="6"/>
        <v/>
      </c>
      <c r="D135" s="35" t="str">
        <f t="shared" si="7"/>
        <v/>
      </c>
      <c r="G135" s="3" t="s">
        <v>2</v>
      </c>
      <c r="H135" s="53"/>
    </row>
    <row r="136" spans="2:8">
      <c r="B136" s="8"/>
      <c r="C136" s="2" t="str">
        <f t="shared" si="6"/>
        <v/>
      </c>
      <c r="D136" s="35" t="str">
        <f t="shared" si="7"/>
        <v/>
      </c>
      <c r="G136" s="3" t="s">
        <v>2</v>
      </c>
      <c r="H136" s="53"/>
    </row>
    <row r="137" spans="2:8">
      <c r="B137" s="8"/>
      <c r="C137" s="2" t="str">
        <f t="shared" si="6"/>
        <v/>
      </c>
      <c r="D137" s="35" t="str">
        <f t="shared" si="7"/>
        <v/>
      </c>
      <c r="G137" s="3" t="s">
        <v>2</v>
      </c>
      <c r="H137" s="53"/>
    </row>
    <row r="138" spans="2:8">
      <c r="B138" s="8"/>
      <c r="C138" s="2" t="str">
        <f t="shared" si="6"/>
        <v/>
      </c>
      <c r="D138" s="35" t="str">
        <f t="shared" si="7"/>
        <v/>
      </c>
      <c r="G138" s="3" t="s">
        <v>2</v>
      </c>
      <c r="H138" s="53"/>
    </row>
    <row r="139" spans="2:8">
      <c r="B139" s="8"/>
      <c r="C139" s="2" t="str">
        <f t="shared" si="6"/>
        <v/>
      </c>
      <c r="D139" s="35" t="str">
        <f t="shared" si="7"/>
        <v/>
      </c>
      <c r="G139" s="3" t="s">
        <v>2</v>
      </c>
      <c r="H139" s="53"/>
    </row>
    <row r="140" spans="2:8">
      <c r="B140" s="8"/>
      <c r="C140" s="2" t="str">
        <f t="shared" si="6"/>
        <v/>
      </c>
      <c r="D140" s="35" t="str">
        <f t="shared" si="7"/>
        <v/>
      </c>
      <c r="G140" s="3" t="s">
        <v>2</v>
      </c>
      <c r="H140" s="53"/>
    </row>
    <row r="141" spans="2:8">
      <c r="B141" s="8"/>
      <c r="C141" s="2" t="str">
        <f t="shared" si="6"/>
        <v/>
      </c>
      <c r="D141" s="35" t="str">
        <f t="shared" si="7"/>
        <v/>
      </c>
      <c r="G141" s="3" t="s">
        <v>2</v>
      </c>
      <c r="H141" s="53"/>
    </row>
    <row r="142" spans="2:8">
      <c r="B142" s="8"/>
      <c r="C142" s="2" t="str">
        <f t="shared" si="6"/>
        <v/>
      </c>
      <c r="D142" s="35" t="str">
        <f t="shared" si="7"/>
        <v/>
      </c>
      <c r="G142" s="3" t="s">
        <v>2</v>
      </c>
      <c r="H142" s="53"/>
    </row>
    <row r="143" spans="2:8">
      <c r="B143" s="8"/>
      <c r="C143" s="2" t="str">
        <f t="shared" si="6"/>
        <v/>
      </c>
      <c r="D143" s="35" t="str">
        <f t="shared" si="7"/>
        <v/>
      </c>
      <c r="G143" s="3" t="s">
        <v>2</v>
      </c>
      <c r="H143" s="53"/>
    </row>
    <row r="144" spans="2:8">
      <c r="B144" s="8"/>
      <c r="C144" s="2" t="str">
        <f t="shared" si="6"/>
        <v/>
      </c>
      <c r="D144" s="35" t="str">
        <f t="shared" si="7"/>
        <v/>
      </c>
      <c r="G144" s="3" t="s">
        <v>2</v>
      </c>
      <c r="H144" s="53"/>
    </row>
    <row r="145" spans="2:8">
      <c r="B145" s="8"/>
      <c r="C145" s="2" t="str">
        <f t="shared" si="6"/>
        <v/>
      </c>
      <c r="D145" s="35" t="str">
        <f t="shared" si="7"/>
        <v/>
      </c>
      <c r="G145" s="3" t="s">
        <v>2</v>
      </c>
      <c r="H145" s="53"/>
    </row>
    <row r="146" spans="2:8">
      <c r="B146" s="8"/>
      <c r="C146" s="2" t="str">
        <f t="shared" si="6"/>
        <v/>
      </c>
      <c r="D146" s="35" t="str">
        <f t="shared" si="7"/>
        <v/>
      </c>
      <c r="G146" s="3" t="s">
        <v>2</v>
      </c>
      <c r="H146" s="53"/>
    </row>
    <row r="147" spans="2:8">
      <c r="B147" s="8"/>
      <c r="C147" s="2" t="str">
        <f t="shared" si="6"/>
        <v/>
      </c>
      <c r="D147" s="35" t="str">
        <f t="shared" si="7"/>
        <v/>
      </c>
      <c r="G147" s="3" t="s">
        <v>2</v>
      </c>
      <c r="H147" s="53"/>
    </row>
    <row r="148" spans="2:8">
      <c r="B148" s="8"/>
      <c r="C148" s="2" t="str">
        <f t="shared" si="6"/>
        <v/>
      </c>
      <c r="D148" s="35" t="str">
        <f t="shared" si="7"/>
        <v/>
      </c>
      <c r="G148" s="3" t="s">
        <v>2</v>
      </c>
      <c r="H148" s="53"/>
    </row>
    <row r="149" spans="2:8">
      <c r="B149" s="8"/>
      <c r="C149" s="2" t="str">
        <f t="shared" si="6"/>
        <v/>
      </c>
      <c r="D149" s="35" t="str">
        <f t="shared" si="7"/>
        <v/>
      </c>
      <c r="G149" s="3" t="s">
        <v>2</v>
      </c>
      <c r="H149" s="53"/>
    </row>
    <row r="150" spans="2:8">
      <c r="B150" s="8"/>
      <c r="C150" s="2" t="str">
        <f t="shared" si="6"/>
        <v/>
      </c>
      <c r="D150" s="35" t="str">
        <f t="shared" si="7"/>
        <v/>
      </c>
      <c r="G150" s="3" t="s">
        <v>2</v>
      </c>
      <c r="H150" s="53"/>
    </row>
    <row r="151" spans="2:8">
      <c r="B151" s="8"/>
      <c r="C151" s="2" t="str">
        <f t="shared" si="6"/>
        <v/>
      </c>
      <c r="D151" s="35" t="str">
        <f t="shared" si="7"/>
        <v/>
      </c>
      <c r="G151" s="3" t="s">
        <v>2</v>
      </c>
      <c r="H151" s="53"/>
    </row>
    <row r="152" spans="2:8">
      <c r="B152" s="8"/>
      <c r="C152" s="2" t="str">
        <f t="shared" si="6"/>
        <v/>
      </c>
      <c r="D152" s="35" t="str">
        <f t="shared" si="7"/>
        <v/>
      </c>
      <c r="G152" s="3" t="s">
        <v>2</v>
      </c>
      <c r="H152" s="53"/>
    </row>
    <row r="153" spans="2:8">
      <c r="B153" s="8"/>
      <c r="C153" s="2" t="str">
        <f t="shared" si="6"/>
        <v/>
      </c>
      <c r="D153" s="35" t="str">
        <f t="shared" si="7"/>
        <v/>
      </c>
      <c r="G153" s="3" t="s">
        <v>2</v>
      </c>
      <c r="H153" s="53"/>
    </row>
    <row r="154" spans="2:8">
      <c r="B154" s="8"/>
      <c r="C154" s="2" t="str">
        <f t="shared" si="6"/>
        <v/>
      </c>
      <c r="D154" s="35" t="str">
        <f t="shared" si="7"/>
        <v/>
      </c>
      <c r="G154" s="3" t="s">
        <v>2</v>
      </c>
      <c r="H154" s="53"/>
    </row>
    <row r="155" spans="2:8">
      <c r="B155" s="8"/>
      <c r="C155" s="2" t="str">
        <f t="shared" si="6"/>
        <v/>
      </c>
      <c r="D155" s="35" t="str">
        <f t="shared" si="7"/>
        <v/>
      </c>
      <c r="G155" s="3" t="s">
        <v>2</v>
      </c>
      <c r="H155" s="53"/>
    </row>
    <row r="156" spans="2:8">
      <c r="B156" s="8"/>
      <c r="C156" s="2" t="str">
        <f t="shared" si="6"/>
        <v/>
      </c>
      <c r="D156" s="35" t="str">
        <f t="shared" si="7"/>
        <v/>
      </c>
      <c r="G156" s="3" t="s">
        <v>2</v>
      </c>
      <c r="H156" s="53"/>
    </row>
    <row r="157" spans="2:8">
      <c r="B157" s="8"/>
      <c r="C157" s="2" t="str">
        <f t="shared" si="6"/>
        <v/>
      </c>
      <c r="D157" s="35" t="str">
        <f t="shared" si="7"/>
        <v/>
      </c>
      <c r="G157" s="3" t="s">
        <v>2</v>
      </c>
      <c r="H157" s="53"/>
    </row>
    <row r="158" spans="2:8">
      <c r="B158" s="8"/>
      <c r="C158" s="2" t="str">
        <f t="shared" si="6"/>
        <v/>
      </c>
      <c r="D158" s="35" t="str">
        <f t="shared" si="7"/>
        <v/>
      </c>
      <c r="G158" s="3" t="s">
        <v>2</v>
      </c>
      <c r="H158" s="53"/>
    </row>
    <row r="159" spans="2:8">
      <c r="B159" s="8"/>
      <c r="C159" s="2" t="str">
        <f t="shared" si="6"/>
        <v/>
      </c>
      <c r="D159" s="35" t="str">
        <f t="shared" si="7"/>
        <v/>
      </c>
      <c r="G159" s="3" t="s">
        <v>2</v>
      </c>
      <c r="H159" s="53"/>
    </row>
    <row r="160" spans="2:8">
      <c r="B160" s="8"/>
      <c r="C160" s="2" t="str">
        <f t="shared" si="6"/>
        <v/>
      </c>
      <c r="D160" s="35" t="str">
        <f t="shared" si="7"/>
        <v/>
      </c>
      <c r="G160" s="3" t="s">
        <v>2</v>
      </c>
      <c r="H160" s="53"/>
    </row>
    <row r="161" spans="2:8">
      <c r="B161" s="8"/>
      <c r="C161" s="2" t="str">
        <f t="shared" si="6"/>
        <v/>
      </c>
      <c r="D161" s="35" t="str">
        <f t="shared" si="7"/>
        <v/>
      </c>
      <c r="G161" s="3" t="s">
        <v>2</v>
      </c>
      <c r="H161" s="53"/>
    </row>
    <row r="162" spans="2:8">
      <c r="B162" s="8"/>
      <c r="C162" s="2" t="str">
        <f t="shared" si="6"/>
        <v/>
      </c>
      <c r="D162" s="35" t="str">
        <f t="shared" si="7"/>
        <v/>
      </c>
      <c r="G162" s="3" t="s">
        <v>2</v>
      </c>
      <c r="H162" s="53"/>
    </row>
    <row r="163" spans="2:8">
      <c r="B163" s="8"/>
      <c r="C163" s="2" t="str">
        <f t="shared" si="6"/>
        <v/>
      </c>
      <c r="D163" s="35" t="str">
        <f t="shared" si="7"/>
        <v/>
      </c>
      <c r="G163" s="3" t="s">
        <v>2</v>
      </c>
      <c r="H163" s="53"/>
    </row>
    <row r="164" spans="2:8">
      <c r="B164" s="8"/>
      <c r="C164" s="2" t="str">
        <f t="shared" si="6"/>
        <v/>
      </c>
      <c r="D164" s="35" t="str">
        <f t="shared" si="7"/>
        <v/>
      </c>
      <c r="G164" s="3" t="s">
        <v>2</v>
      </c>
      <c r="H164" s="53"/>
    </row>
    <row r="165" spans="2:8">
      <c r="B165" s="8"/>
      <c r="C165" s="2" t="str">
        <f t="shared" ref="C165:C200" si="8">IFERROR(IF(LEN(A165)&gt;0, --LEFT(A165,FIND(".",A165)-1), ""),"")</f>
        <v/>
      </c>
      <c r="D165" s="35" t="str">
        <f t="shared" si="7"/>
        <v/>
      </c>
      <c r="G165" s="3" t="s">
        <v>2</v>
      </c>
      <c r="H165" s="53"/>
    </row>
    <row r="166" spans="2:8">
      <c r="B166" s="8"/>
      <c r="C166" s="2" t="str">
        <f t="shared" si="8"/>
        <v/>
      </c>
      <c r="D166" s="35" t="str">
        <f t="shared" si="7"/>
        <v/>
      </c>
      <c r="G166" s="3" t="s">
        <v>2</v>
      </c>
      <c r="H166" s="53"/>
    </row>
    <row r="167" spans="2:8">
      <c r="B167" s="8"/>
      <c r="C167" s="2" t="str">
        <f t="shared" si="8"/>
        <v/>
      </c>
      <c r="D167" s="35" t="str">
        <f t="shared" si="7"/>
        <v/>
      </c>
      <c r="G167" s="3" t="s">
        <v>2</v>
      </c>
      <c r="H167" s="53"/>
    </row>
    <row r="168" spans="2:8">
      <c r="B168" s="8"/>
      <c r="C168" s="2" t="str">
        <f t="shared" si="8"/>
        <v/>
      </c>
      <c r="D168" s="35" t="str">
        <f t="shared" si="7"/>
        <v/>
      </c>
      <c r="G168" s="3" t="s">
        <v>2</v>
      </c>
      <c r="H168" s="53"/>
    </row>
    <row r="169" spans="2:8">
      <c r="B169" s="8"/>
      <c r="C169" s="2" t="str">
        <f t="shared" si="8"/>
        <v/>
      </c>
      <c r="D169" s="35" t="str">
        <f t="shared" si="7"/>
        <v/>
      </c>
      <c r="G169" s="3" t="s">
        <v>2</v>
      </c>
      <c r="H169" s="53"/>
    </row>
    <row r="170" spans="2:8">
      <c r="B170" s="8"/>
      <c r="C170" s="2" t="str">
        <f t="shared" si="8"/>
        <v/>
      </c>
      <c r="D170" s="35" t="str">
        <f t="shared" si="7"/>
        <v/>
      </c>
      <c r="G170" s="3" t="s">
        <v>2</v>
      </c>
      <c r="H170" s="53"/>
    </row>
    <row r="171" spans="2:8">
      <c r="B171" s="8"/>
      <c r="C171" s="2" t="str">
        <f t="shared" si="8"/>
        <v/>
      </c>
      <c r="D171" s="35" t="str">
        <f t="shared" si="7"/>
        <v/>
      </c>
      <c r="G171" s="3" t="s">
        <v>2</v>
      </c>
      <c r="H171" s="53"/>
    </row>
    <row r="172" spans="2:8">
      <c r="B172" s="8"/>
      <c r="C172" s="2" t="str">
        <f t="shared" si="8"/>
        <v/>
      </c>
      <c r="D172" s="35" t="str">
        <f t="shared" si="7"/>
        <v/>
      </c>
      <c r="G172" s="3" t="s">
        <v>2</v>
      </c>
      <c r="H172" s="53"/>
    </row>
    <row r="173" spans="2:8">
      <c r="B173" s="8"/>
      <c r="C173" s="2" t="str">
        <f t="shared" si="8"/>
        <v/>
      </c>
      <c r="D173" s="35" t="str">
        <f t="shared" si="7"/>
        <v/>
      </c>
      <c r="G173" s="3" t="s">
        <v>2</v>
      </c>
      <c r="H173" s="53"/>
    </row>
    <row r="174" spans="2:8">
      <c r="B174" s="8"/>
      <c r="C174" s="2" t="str">
        <f t="shared" si="8"/>
        <v/>
      </c>
      <c r="D174" s="35" t="str">
        <f t="shared" si="7"/>
        <v/>
      </c>
      <c r="G174" s="3" t="s">
        <v>2</v>
      </c>
      <c r="H174" s="53"/>
    </row>
    <row r="175" spans="2:8">
      <c r="B175" s="8"/>
      <c r="C175" s="2" t="str">
        <f t="shared" si="8"/>
        <v/>
      </c>
      <c r="D175" s="35" t="str">
        <f t="shared" si="7"/>
        <v/>
      </c>
      <c r="G175" s="3" t="s">
        <v>2</v>
      </c>
      <c r="H175" s="53"/>
    </row>
    <row r="176" spans="2:8">
      <c r="B176" s="8"/>
      <c r="C176" s="2" t="str">
        <f t="shared" si="8"/>
        <v/>
      </c>
      <c r="D176" s="35" t="str">
        <f t="shared" si="7"/>
        <v/>
      </c>
      <c r="G176" s="3" t="s">
        <v>2</v>
      </c>
      <c r="H176" s="53"/>
    </row>
    <row r="177" spans="1:8">
      <c r="B177" s="8"/>
      <c r="C177" s="2" t="str">
        <f t="shared" si="8"/>
        <v/>
      </c>
      <c r="D177" s="35" t="str">
        <f t="shared" si="7"/>
        <v/>
      </c>
      <c r="G177" s="3" t="s">
        <v>2</v>
      </c>
      <c r="H177" s="53"/>
    </row>
    <row r="178" spans="1:8">
      <c r="B178" s="8"/>
      <c r="C178" s="2" t="str">
        <f t="shared" si="8"/>
        <v/>
      </c>
      <c r="D178" s="35" t="str">
        <f t="shared" si="7"/>
        <v/>
      </c>
      <c r="G178" s="3" t="s">
        <v>2</v>
      </c>
      <c r="H178" s="53"/>
    </row>
    <row r="179" spans="1:8">
      <c r="B179" s="8"/>
      <c r="C179" s="2" t="str">
        <f t="shared" si="8"/>
        <v/>
      </c>
      <c r="D179" s="35" t="str">
        <f t="shared" si="7"/>
        <v/>
      </c>
      <c r="G179" s="3" t="s">
        <v>2</v>
      </c>
      <c r="H179" s="53"/>
    </row>
    <row r="180" spans="1:8">
      <c r="B180" s="8"/>
      <c r="C180" s="2" t="str">
        <f t="shared" si="8"/>
        <v/>
      </c>
      <c r="D180" s="35" t="str">
        <f t="shared" si="7"/>
        <v/>
      </c>
      <c r="G180" s="3" t="s">
        <v>2</v>
      </c>
      <c r="H180" s="53"/>
    </row>
    <row r="181" spans="1:8">
      <c r="B181" s="8"/>
      <c r="C181" s="2" t="str">
        <f t="shared" si="8"/>
        <v/>
      </c>
      <c r="D181" s="35" t="str">
        <f t="shared" si="7"/>
        <v/>
      </c>
      <c r="G181" s="3" t="s">
        <v>2</v>
      </c>
      <c r="H181" s="53"/>
    </row>
    <row r="182" spans="1:8">
      <c r="B182" s="8"/>
      <c r="C182" s="2" t="str">
        <f t="shared" si="8"/>
        <v/>
      </c>
      <c r="D182" s="35" t="str">
        <f t="shared" si="7"/>
        <v/>
      </c>
      <c r="G182" s="3" t="s">
        <v>2</v>
      </c>
      <c r="H182" s="53"/>
    </row>
    <row r="183" spans="1:8">
      <c r="B183" s="8"/>
      <c r="C183" s="2" t="str">
        <f t="shared" si="8"/>
        <v/>
      </c>
      <c r="D183" s="35" t="str">
        <f t="shared" si="7"/>
        <v/>
      </c>
      <c r="G183" s="3" t="s">
        <v>2</v>
      </c>
      <c r="H183" s="53"/>
    </row>
    <row r="184" spans="1:8">
      <c r="B184" s="8"/>
      <c r="C184" s="2" t="str">
        <f t="shared" si="8"/>
        <v/>
      </c>
      <c r="D184" s="35" t="str">
        <f t="shared" si="7"/>
        <v/>
      </c>
      <c r="G184" s="3" t="s">
        <v>2</v>
      </c>
      <c r="H184" s="53"/>
    </row>
    <row r="185" spans="1:8">
      <c r="B185" s="8"/>
      <c r="C185" s="2" t="str">
        <f t="shared" si="8"/>
        <v/>
      </c>
      <c r="D185" s="35" t="str">
        <f t="shared" si="7"/>
        <v/>
      </c>
      <c r="G185" s="3" t="s">
        <v>2</v>
      </c>
      <c r="H185" s="53"/>
    </row>
    <row r="186" spans="1:8">
      <c r="B186" s="8"/>
      <c r="C186" s="2" t="str">
        <f t="shared" si="8"/>
        <v/>
      </c>
      <c r="D186" s="35" t="str">
        <f t="shared" si="7"/>
        <v/>
      </c>
      <c r="G186" s="3" t="s">
        <v>2</v>
      </c>
      <c r="H186" s="53"/>
    </row>
    <row r="187" spans="1:8">
      <c r="B187" s="8"/>
      <c r="C187" s="2" t="str">
        <f t="shared" si="8"/>
        <v/>
      </c>
      <c r="D187" s="35" t="str">
        <f t="shared" si="7"/>
        <v/>
      </c>
      <c r="G187" s="3" t="s">
        <v>2</v>
      </c>
      <c r="H187" s="53"/>
    </row>
    <row r="188" spans="1:8">
      <c r="B188" s="8"/>
      <c r="C188" s="2" t="str">
        <f t="shared" si="8"/>
        <v/>
      </c>
      <c r="D188" s="35" t="str">
        <f t="shared" si="7"/>
        <v/>
      </c>
      <c r="G188" s="3" t="s">
        <v>2</v>
      </c>
      <c r="H188" s="53"/>
    </row>
    <row r="189" spans="1:8">
      <c r="B189" s="8"/>
      <c r="C189" s="2" t="str">
        <f t="shared" si="8"/>
        <v/>
      </c>
      <c r="D189" s="35" t="str">
        <f t="shared" si="7"/>
        <v/>
      </c>
      <c r="G189" s="3" t="s">
        <v>2</v>
      </c>
      <c r="H189" s="53"/>
    </row>
    <row r="190" spans="1:8">
      <c r="A190" s="8"/>
      <c r="B190" s="8"/>
      <c r="C190" s="2" t="str">
        <f t="shared" si="8"/>
        <v/>
      </c>
      <c r="D190" s="35" t="str">
        <f t="shared" si="7"/>
        <v/>
      </c>
      <c r="G190" s="3" t="s">
        <v>2</v>
      </c>
      <c r="H190" s="53"/>
    </row>
    <row r="191" spans="1:8">
      <c r="A191" s="8"/>
      <c r="B191" s="8"/>
      <c r="C191" s="2" t="str">
        <f t="shared" si="8"/>
        <v/>
      </c>
      <c r="D191" s="35" t="str">
        <f t="shared" si="7"/>
        <v/>
      </c>
      <c r="G191" s="3" t="s">
        <v>2</v>
      </c>
      <c r="H191" s="53"/>
    </row>
    <row r="192" spans="1:8">
      <c r="A192" s="8"/>
      <c r="B192" s="8"/>
      <c r="C192" s="2" t="str">
        <f t="shared" si="8"/>
        <v/>
      </c>
      <c r="D192" s="35" t="str">
        <f t="shared" si="7"/>
        <v/>
      </c>
      <c r="G192" s="3" t="s">
        <v>2</v>
      </c>
      <c r="H192" s="53"/>
    </row>
    <row r="193" spans="1:8">
      <c r="A193" s="8"/>
      <c r="B193" s="8"/>
      <c r="C193" s="2" t="str">
        <f t="shared" si="8"/>
        <v/>
      </c>
      <c r="D193" s="35" t="str">
        <f t="shared" si="7"/>
        <v/>
      </c>
      <c r="G193" s="3" t="s">
        <v>2</v>
      </c>
      <c r="H193" s="53"/>
    </row>
    <row r="194" spans="1:8">
      <c r="A194" s="8"/>
      <c r="B194" s="8"/>
      <c r="C194" s="2" t="str">
        <f t="shared" si="8"/>
        <v/>
      </c>
      <c r="D194" s="35" t="str">
        <f t="shared" si="7"/>
        <v/>
      </c>
      <c r="G194" s="3" t="s">
        <v>2</v>
      </c>
      <c r="H194" s="53"/>
    </row>
    <row r="195" spans="1:8">
      <c r="A195" s="8"/>
      <c r="B195" s="8"/>
      <c r="C195" s="2" t="str">
        <f t="shared" si="8"/>
        <v/>
      </c>
      <c r="D195" s="35" t="str">
        <f t="shared" si="7"/>
        <v/>
      </c>
      <c r="G195" s="3" t="s">
        <v>2</v>
      </c>
      <c r="H195" s="53"/>
    </row>
    <row r="196" spans="1:8">
      <c r="A196" s="8"/>
      <c r="B196" s="8"/>
      <c r="C196" s="2" t="str">
        <f t="shared" si="8"/>
        <v/>
      </c>
      <c r="D196" s="35" t="str">
        <f t="shared" si="7"/>
        <v/>
      </c>
      <c r="G196" s="3" t="s">
        <v>2</v>
      </c>
      <c r="H196" s="53"/>
    </row>
    <row r="197" spans="1:8">
      <c r="A197" s="8"/>
      <c r="B197" s="8"/>
      <c r="C197" s="2" t="str">
        <f t="shared" si="8"/>
        <v/>
      </c>
      <c r="D197" s="35" t="str">
        <f t="shared" si="7"/>
        <v/>
      </c>
      <c r="G197" s="3" t="s">
        <v>2</v>
      </c>
      <c r="H197" s="53"/>
    </row>
    <row r="198" spans="1:8">
      <c r="A198" s="8"/>
      <c r="B198" s="8"/>
      <c r="C198" s="2" t="str">
        <f t="shared" si="8"/>
        <v/>
      </c>
      <c r="D198" s="35" t="str">
        <f t="shared" ref="D198:D200" si="9">IF(LEN(A198)&gt;0,ROW(A195) + IF($E$4="Reverse", $F$4, 0) &amp; SUBSTITUTE($F$7,"*",""), "")</f>
        <v/>
      </c>
      <c r="G198" s="3" t="s">
        <v>2</v>
      </c>
      <c r="H198" s="53"/>
    </row>
    <row r="199" spans="1:8">
      <c r="A199" s="8"/>
      <c r="B199" s="8"/>
      <c r="C199" s="2" t="str">
        <f t="shared" si="8"/>
        <v/>
      </c>
      <c r="D199" s="35" t="str">
        <f t="shared" si="9"/>
        <v/>
      </c>
      <c r="G199" s="3" t="s">
        <v>2</v>
      </c>
      <c r="H199" s="53"/>
    </row>
    <row r="200" spans="1:8">
      <c r="A200" s="8"/>
      <c r="B200" s="8"/>
      <c r="C200" s="2" t="str">
        <f t="shared" si="8"/>
        <v/>
      </c>
      <c r="D200" s="35" t="str">
        <f t="shared" si="9"/>
        <v/>
      </c>
      <c r="G200" s="3" t="s">
        <v>2</v>
      </c>
      <c r="H200" s="53"/>
    </row>
    <row r="201" spans="1:8" hidden="1"/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5:C200">
    <sortCondition ref="C5:C200"/>
  </sortState>
  <mergeCells count="6">
    <mergeCell ref="J1:O1"/>
    <mergeCell ref="D2:I2"/>
    <mergeCell ref="J5:K6"/>
    <mergeCell ref="E16:F18"/>
    <mergeCell ref="E5:F6"/>
    <mergeCell ref="L2:O2"/>
  </mergeCells>
  <conditionalFormatting sqref="C4">
    <cfRule type="containsText" dxfId="12" priority="13" operator="containsText" text="sorted">
      <formula>NOT(ISERROR(SEARCH("sorted",C4)))</formula>
    </cfRule>
  </conditionalFormatting>
  <conditionalFormatting sqref="D5:D200">
    <cfRule type="expression" dxfId="11" priority="8">
      <formula>AND(LEN($A5)&gt;0,$B5 = $D5)</formula>
    </cfRule>
    <cfRule type="expression" dxfId="10" priority="10">
      <formula>$D$4=FALSE</formula>
    </cfRule>
  </conditionalFormatting>
  <conditionalFormatting sqref="E4:F4 D5:D200">
    <cfRule type="expression" dxfId="9" priority="11">
      <formula>AND($E$4="Reverse",$F$4&lt;$E$16)</formula>
    </cfRule>
    <cfRule type="expression" dxfId="8" priority="12">
      <formula>AND($E$4="Reverse",$F$4 &gt;= MAX($C4:$C$200))</formula>
    </cfRule>
  </conditionalFormatting>
  <conditionalFormatting sqref="A5:B200">
    <cfRule type="expression" dxfId="7" priority="9">
      <formula>AND(LEN($A5)&gt;0,$B5 = $D5)</formula>
    </cfRule>
  </conditionalFormatting>
  <conditionalFormatting sqref="J1">
    <cfRule type="expression" dxfId="6" priority="7">
      <formula>$K$2=TRUE</formula>
    </cfRule>
  </conditionalFormatting>
  <conditionalFormatting sqref="B1:I1">
    <cfRule type="expression" dxfId="5" priority="4">
      <formula>$K$2=TRUE</formula>
    </cfRule>
    <cfRule type="expression" dxfId="4" priority="6">
      <formula>$K$2=FALSE</formula>
    </cfRule>
  </conditionalFormatting>
  <conditionalFormatting sqref="J1:O1">
    <cfRule type="expression" dxfId="3" priority="5">
      <formula>$K$2=FALSE</formula>
    </cfRule>
  </conditionalFormatting>
  <conditionalFormatting sqref="H5">
    <cfRule type="containsBlanks" dxfId="2" priority="14">
      <formula>LEN(TRIM(H5))=0</formula>
    </cfRule>
  </conditionalFormatting>
  <conditionalFormatting sqref="H6:H200">
    <cfRule type="notContainsBlanks" dxfId="1" priority="2">
      <formula>LEN(TRIM(H6))&gt;0</formula>
    </cfRule>
  </conditionalFormatting>
  <conditionalFormatting sqref="H6:H18">
    <cfRule type="containsBlanks" dxfId="0" priority="19">
      <formula>LEN(TRIM(H6))=0</formula>
    </cfRule>
  </conditionalFormatting>
  <dataValidations count="1">
    <dataValidation type="list" allowBlank="1" sqref="F7 K15 H5" xr:uid="{310441CC-76CD-46EE-BEB8-78FC75C99B13}">
      <formula1>file_Type_List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" r:id="rId4" name="Label23">
          <controlPr defaultSize="0" autoLine="0" r:id="rId5">
            <anchor moveWithCells="1">
              <from>
                <xdr:col>9</xdr:col>
                <xdr:colOff>209550</xdr:colOff>
                <xdr:row>13</xdr:row>
                <xdr:rowOff>47625</xdr:rowOff>
              </from>
              <to>
                <xdr:col>10</xdr:col>
                <xdr:colOff>447675</xdr:colOff>
                <xdr:row>13</xdr:row>
                <xdr:rowOff>85725</xdr:rowOff>
              </to>
            </anchor>
          </controlPr>
        </control>
      </mc:Choice>
      <mc:Fallback>
        <control shapeId="1127" r:id="rId4" name="Label23"/>
      </mc:Fallback>
    </mc:AlternateContent>
    <mc:AlternateContent xmlns:mc="http://schemas.openxmlformats.org/markup-compatibility/2006">
      <mc:Choice Requires="x14">
        <control shapeId="1126" r:id="rId6" name="Label22">
          <controlPr defaultSize="0" autoLine="0" r:id="rId5">
            <anchor moveWithCells="1">
              <from>
                <xdr:col>9</xdr:col>
                <xdr:colOff>219075</xdr:colOff>
                <xdr:row>11</xdr:row>
                <xdr:rowOff>180975</xdr:rowOff>
              </from>
              <to>
                <xdr:col>10</xdr:col>
                <xdr:colOff>457200</xdr:colOff>
                <xdr:row>12</xdr:row>
                <xdr:rowOff>28575</xdr:rowOff>
              </to>
            </anchor>
          </controlPr>
        </control>
      </mc:Choice>
      <mc:Fallback>
        <control shapeId="1126" r:id="rId6" name="Label22"/>
      </mc:Fallback>
    </mc:AlternateContent>
    <mc:AlternateContent xmlns:mc="http://schemas.openxmlformats.org/markup-compatibility/2006">
      <mc:Choice Requires="x14">
        <control shapeId="1125" r:id="rId7" name="Label21">
          <controlPr defaultSize="0" autoLine="0" r:id="rId5">
            <anchor moveWithCells="1">
              <from>
                <xdr:col>9</xdr:col>
                <xdr:colOff>200025</xdr:colOff>
                <xdr:row>11</xdr:row>
                <xdr:rowOff>28575</xdr:rowOff>
              </from>
              <to>
                <xdr:col>10</xdr:col>
                <xdr:colOff>438150</xdr:colOff>
                <xdr:row>11</xdr:row>
                <xdr:rowOff>66675</xdr:rowOff>
              </to>
            </anchor>
          </controlPr>
        </control>
      </mc:Choice>
      <mc:Fallback>
        <control shapeId="1125" r:id="rId7" name="Label21"/>
      </mc:Fallback>
    </mc:AlternateContent>
    <mc:AlternateContent xmlns:mc="http://schemas.openxmlformats.org/markup-compatibility/2006">
      <mc:Choice Requires="x14">
        <control shapeId="1124" r:id="rId8" name="Label20">
          <controlPr defaultSize="0" autoLine="0" r:id="rId5">
            <anchor moveWithCells="1">
              <from>
                <xdr:col>9</xdr:col>
                <xdr:colOff>209550</xdr:colOff>
                <xdr:row>9</xdr:row>
                <xdr:rowOff>161925</xdr:rowOff>
              </from>
              <to>
                <xdr:col>10</xdr:col>
                <xdr:colOff>447675</xdr:colOff>
                <xdr:row>10</xdr:row>
                <xdr:rowOff>9525</xdr:rowOff>
              </to>
            </anchor>
          </controlPr>
        </control>
      </mc:Choice>
      <mc:Fallback>
        <control shapeId="1124" r:id="rId8" name="Label20"/>
      </mc:Fallback>
    </mc:AlternateContent>
    <mc:AlternateContent xmlns:mc="http://schemas.openxmlformats.org/markup-compatibility/2006">
      <mc:Choice Requires="x14">
        <control shapeId="1120" r:id="rId9" name="Label16">
          <controlPr defaultSize="0" autoLine="0" r:id="rId5">
            <anchor moveWithCells="1">
              <from>
                <xdr:col>9</xdr:col>
                <xdr:colOff>219075</xdr:colOff>
                <xdr:row>9</xdr:row>
                <xdr:rowOff>0</xdr:rowOff>
              </from>
              <to>
                <xdr:col>10</xdr:col>
                <xdr:colOff>457200</xdr:colOff>
                <xdr:row>9</xdr:row>
                <xdr:rowOff>38100</xdr:rowOff>
              </to>
            </anchor>
          </controlPr>
        </control>
      </mc:Choice>
      <mc:Fallback>
        <control shapeId="1120" r:id="rId9" name="Label16"/>
      </mc:Fallback>
    </mc:AlternateContent>
    <mc:AlternateContent xmlns:mc="http://schemas.openxmlformats.org/markup-compatibility/2006">
      <mc:Choice Requires="x14">
        <control shapeId="1119" r:id="rId10" name="Label15">
          <controlPr defaultSize="0" autoLine="0" r:id="rId5">
            <anchor moveWithCells="1">
              <from>
                <xdr:col>9</xdr:col>
                <xdr:colOff>228600</xdr:colOff>
                <xdr:row>7</xdr:row>
                <xdr:rowOff>133350</xdr:rowOff>
              </from>
              <to>
                <xdr:col>10</xdr:col>
                <xdr:colOff>466725</xdr:colOff>
                <xdr:row>7</xdr:row>
                <xdr:rowOff>171450</xdr:rowOff>
              </to>
            </anchor>
          </controlPr>
        </control>
      </mc:Choice>
      <mc:Fallback>
        <control shapeId="1119" r:id="rId10" name="Label15"/>
      </mc:Fallback>
    </mc:AlternateContent>
    <mc:AlternateContent xmlns:mc="http://schemas.openxmlformats.org/markup-compatibility/2006">
      <mc:Choice Requires="x14">
        <control shapeId="1025" r:id="rId11" name="Button 1">
          <controlPr defaultSize="0" autoFill="0" autoPict="0" macro="[0]!FetchNames">
            <anchor moveWithCells="1">
              <from>
                <xdr:col>4</xdr:col>
                <xdr:colOff>295275</xdr:colOff>
                <xdr:row>7</xdr:row>
                <xdr:rowOff>180975</xdr:rowOff>
              </from>
              <to>
                <xdr:col>5</xdr:col>
                <xdr:colOff>485775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2" name="Button 2">
          <controlPr defaultSize="0" autoFill="0" autoPict="0" macro="[0]!RenameFiles">
            <anchor moveWithCells="1">
              <from>
                <xdr:col>4</xdr:col>
                <xdr:colOff>304800</xdr:colOff>
                <xdr:row>12</xdr:row>
                <xdr:rowOff>47625</xdr:rowOff>
              </from>
              <to>
                <xdr:col>5</xdr:col>
                <xdr:colOff>466725</xdr:colOff>
                <xdr:row>13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autoFill="0" autoPict="0" macro="[0]!_xludf.sort">
            <anchor moveWithCells="1">
              <from>
                <xdr:col>4</xdr:col>
                <xdr:colOff>304800</xdr:colOff>
                <xdr:row>10</xdr:row>
                <xdr:rowOff>19050</xdr:rowOff>
              </from>
              <to>
                <xdr:col>5</xdr:col>
                <xdr:colOff>466725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autoFill="0" autoPict="0" macro="[0]!celar_left">
            <anchor moveWithCells="1">
              <from>
                <xdr:col>4</xdr:col>
                <xdr:colOff>304800</xdr:colOff>
                <xdr:row>14</xdr:row>
                <xdr:rowOff>85725</xdr:rowOff>
              </from>
              <to>
                <xdr:col>5</xdr:col>
                <xdr:colOff>466725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Spinner 6">
          <controlPr defaultSize="0" autoPict="0">
            <anchor moveWithCells="1" sizeWithCells="1">
              <from>
                <xdr:col>5</xdr:col>
                <xdr:colOff>600075</xdr:colOff>
                <xdr:row>3</xdr:row>
                <xdr:rowOff>190500</xdr:rowOff>
              </from>
              <to>
                <xdr:col>6</xdr:col>
                <xdr:colOff>9525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Check Box 16">
          <controlPr defaultSize="0" autoFill="0" autoLine="0" autoPict="0">
            <anchor moveWithCells="1">
              <from>
                <xdr:col>3</xdr:col>
                <xdr:colOff>114300</xdr:colOff>
                <xdr:row>3</xdr:row>
                <xdr:rowOff>19050</xdr:rowOff>
              </from>
              <to>
                <xdr:col>3</xdr:col>
                <xdr:colOff>361950</xdr:colOff>
                <xdr:row>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7" name="Button 20">
          <controlPr defaultSize="0" autoFill="0" autoPict="0" macro="[0]!celar_right">
            <anchor moveWithCells="1">
              <from>
                <xdr:col>9</xdr:col>
                <xdr:colOff>371475</xdr:colOff>
                <xdr:row>11</xdr:row>
                <xdr:rowOff>114300</xdr:rowOff>
              </from>
              <to>
                <xdr:col>10</xdr:col>
                <xdr:colOff>485775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8" name="Button 21">
          <controlPr defaultSize="0" autoFill="0" autoPict="0" macro="[0]!delete_images">
            <anchor moveWithCells="1">
              <from>
                <xdr:col>9</xdr:col>
                <xdr:colOff>371475</xdr:colOff>
                <xdr:row>9</xdr:row>
                <xdr:rowOff>57150</xdr:rowOff>
              </from>
              <to>
                <xdr:col>10</xdr:col>
                <xdr:colOff>485775</xdr:colOff>
                <xdr:row>10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9" name="Check Box 22">
          <controlPr defaultSize="0" autoFill="0" autoLine="0" autoPict="0">
            <anchor moveWithCells="1">
              <from>
                <xdr:col>5</xdr:col>
                <xdr:colOff>304800</xdr:colOff>
                <xdr:row>4</xdr:row>
                <xdr:rowOff>104775</xdr:rowOff>
              </from>
              <to>
                <xdr:col>5</xdr:col>
                <xdr:colOff>523875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20" name="Check Box 28">
          <controlPr defaultSize="0" autoFill="0" autoLine="0" autoPict="0">
            <anchor moveWithCells="1">
              <from>
                <xdr:col>10</xdr:col>
                <xdr:colOff>438150</xdr:colOff>
                <xdr:row>1</xdr:row>
                <xdr:rowOff>9525</xdr:rowOff>
              </from>
              <to>
                <xdr:col>10</xdr:col>
                <xdr:colOff>628650</xdr:colOff>
                <xdr:row>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21" name="Check Box 31">
          <controlPr defaultSize="0" autoFill="0" autoLine="0" autoPict="0">
            <anchor moveWithCells="1">
              <from>
                <xdr:col>9</xdr:col>
                <xdr:colOff>9525</xdr:colOff>
                <xdr:row>15</xdr:row>
                <xdr:rowOff>66675</xdr:rowOff>
              </from>
              <to>
                <xdr:col>9</xdr:col>
                <xdr:colOff>647700</xdr:colOff>
                <xdr:row>16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2" name="Label 62">
          <controlPr defaultSize="0" autoFill="0" autoLine="0" autoPict="0">
            <anchor moveWithCells="1" sizeWithCells="1">
              <from>
                <xdr:col>12</xdr:col>
                <xdr:colOff>485775</xdr:colOff>
                <xdr:row>6</xdr:row>
                <xdr:rowOff>95250</xdr:rowOff>
              </from>
              <to>
                <xdr:col>13</xdr:col>
                <xdr:colOff>609600</xdr:colOff>
                <xdr:row>7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23" name="Label 63">
          <controlPr defaultSize="0" autoFill="0" autoLine="0" autoPict="0">
            <anchor moveWithCells="1" sizeWithCells="1">
              <from>
                <xdr:col>12</xdr:col>
                <xdr:colOff>485775</xdr:colOff>
                <xdr:row>8</xdr:row>
                <xdr:rowOff>19050</xdr:rowOff>
              </from>
              <to>
                <xdr:col>15</xdr:col>
                <xdr:colOff>609600</xdr:colOff>
                <xdr:row>10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24" name="Label 64">
          <controlPr defaultSize="0" autoFill="0" autoLine="0" autoPict="0">
            <anchor moveWithCells="1" sizeWithCells="1">
              <from>
                <xdr:col>12</xdr:col>
                <xdr:colOff>485775</xdr:colOff>
                <xdr:row>10</xdr:row>
                <xdr:rowOff>9525</xdr:rowOff>
              </from>
              <to>
                <xdr:col>16</xdr:col>
                <xdr:colOff>409575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25" name="Label 65">
          <controlPr defaultSize="0" autoFill="0" autoLine="0" autoPict="0">
            <anchor moveWithCells="1" sizeWithCells="1">
              <from>
                <xdr:col>12</xdr:col>
                <xdr:colOff>485775</xdr:colOff>
                <xdr:row>12</xdr:row>
                <xdr:rowOff>47625</xdr:rowOff>
              </from>
              <to>
                <xdr:col>13</xdr:col>
                <xdr:colOff>1123950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26" name="Label 66">
          <controlPr defaultSize="0" autoFill="0" autoLine="0" autoPict="0">
            <anchor moveWithCells="1" sizeWithCells="1">
              <from>
                <xdr:col>12</xdr:col>
                <xdr:colOff>485775</xdr:colOff>
                <xdr:row>15</xdr:row>
                <xdr:rowOff>76200</xdr:rowOff>
              </from>
              <to>
                <xdr:col>16</xdr:col>
                <xdr:colOff>609600</xdr:colOff>
                <xdr:row>16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27" name="Label 67">
          <controlPr defaultSize="0" autoFill="0" autoLine="0" autoPict="0">
            <anchor moveWithCells="1" sizeWithCells="1">
              <from>
                <xdr:col>12</xdr:col>
                <xdr:colOff>485775</xdr:colOff>
                <xdr:row>16</xdr:row>
                <xdr:rowOff>142875</xdr:rowOff>
              </from>
              <to>
                <xdr:col>15</xdr:col>
                <xdr:colOff>200025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28" name="Label 68">
          <controlPr defaultSize="0" autoFill="0" autoLine="0" autoPict="0">
            <anchor moveWithCells="1" sizeWithCells="1">
              <from>
                <xdr:col>9</xdr:col>
                <xdr:colOff>723900</xdr:colOff>
                <xdr:row>19</xdr:row>
                <xdr:rowOff>28575</xdr:rowOff>
              </from>
              <to>
                <xdr:col>12</xdr:col>
                <xdr:colOff>800100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29" name="Label 69">
          <controlPr defaultSize="0" autoFill="0" autoLine="0" autoPict="0">
            <anchor moveWithCells="1" sizeWithCells="1">
              <from>
                <xdr:col>9</xdr:col>
                <xdr:colOff>733425</xdr:colOff>
                <xdr:row>20</xdr:row>
                <xdr:rowOff>161925</xdr:rowOff>
              </from>
              <to>
                <xdr:col>15</xdr:col>
                <xdr:colOff>447675</xdr:colOff>
                <xdr:row>22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30" name="Label 70">
          <controlPr defaultSize="0" autoFill="0" autoLine="0" autoPict="0">
            <anchor moveWithCells="1" sizeWithCells="1">
              <from>
                <xdr:col>4</xdr:col>
                <xdr:colOff>180975</xdr:colOff>
                <xdr:row>20</xdr:row>
                <xdr:rowOff>66675</xdr:rowOff>
              </from>
              <to>
                <xdr:col>7</xdr:col>
                <xdr:colOff>47625</xdr:colOff>
                <xdr:row>21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31" name="Label 71">
          <controlPr defaultSize="0" autoFill="0" autoLine="0" autoPict="0">
            <anchor moveWithCells="1" sizeWithCells="1">
              <from>
                <xdr:col>4</xdr:col>
                <xdr:colOff>76200</xdr:colOff>
                <xdr:row>21</xdr:row>
                <xdr:rowOff>85725</xdr:rowOff>
              </from>
              <to>
                <xdr:col>6</xdr:col>
                <xdr:colOff>257175</xdr:colOff>
                <xdr:row>22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32" name="Label 72">
          <controlPr defaultSize="0" autoFill="0" autoLine="0" autoPict="0">
            <anchor moveWithCells="1" sizeWithCells="1">
              <from>
                <xdr:col>3</xdr:col>
                <xdr:colOff>457200</xdr:colOff>
                <xdr:row>22</xdr:row>
                <xdr:rowOff>114300</xdr:rowOff>
              </from>
              <to>
                <xdr:col>6</xdr:col>
                <xdr:colOff>171450</xdr:colOff>
                <xdr:row>23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33" name="Label 73">
          <controlPr defaultSize="0" autoFill="0" autoLine="0" autoPict="0">
            <anchor moveWithCells="1" sizeWithCells="1">
              <from>
                <xdr:col>3</xdr:col>
                <xdr:colOff>352425</xdr:colOff>
                <xdr:row>23</xdr:row>
                <xdr:rowOff>123825</xdr:rowOff>
              </from>
              <to>
                <xdr:col>6</xdr:col>
                <xdr:colOff>66675</xdr:colOff>
                <xdr:row>24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34" name="Label 74">
          <controlPr defaultSize="0" autoFill="0" autoLine="0" autoPict="0">
            <anchor moveWithCells="1" sizeWithCells="1">
              <from>
                <xdr:col>4</xdr:col>
                <xdr:colOff>571500</xdr:colOff>
                <xdr:row>18</xdr:row>
                <xdr:rowOff>133350</xdr:rowOff>
              </from>
              <to>
                <xdr:col>5</xdr:col>
                <xdr:colOff>247650</xdr:colOff>
                <xdr:row>19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35" name="Label 75">
          <controlPr defaultSize="0" autoFill="0" autoLine="0" autoPict="0">
            <anchor moveWithCells="1" sizeWithCells="1">
              <from>
                <xdr:col>10</xdr:col>
                <xdr:colOff>238125</xdr:colOff>
                <xdr:row>23</xdr:row>
                <xdr:rowOff>142875</xdr:rowOff>
              </from>
              <to>
                <xdr:col>15</xdr:col>
                <xdr:colOff>419100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1" r:id="rId36" name="Button 107">
          <controlPr defaultSize="0" autoFill="0" autoPict="0" macro="[0]!paste_from_clipboard">
            <anchor moveWithCells="1">
              <from>
                <xdr:col>9</xdr:col>
                <xdr:colOff>381000</xdr:colOff>
                <xdr:row>7</xdr:row>
                <xdr:rowOff>9525</xdr:rowOff>
              </from>
              <to>
                <xdr:col>10</xdr:col>
                <xdr:colOff>495300</xdr:colOff>
                <xdr:row>8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798CE-EF1B-42B2-B539-F4DC5C5281E3}">
  <sheetPr codeName="Sheet2"/>
  <dimension ref="A1:F200"/>
  <sheetViews>
    <sheetView workbookViewId="0">
      <selection activeCell="C1" sqref="C1"/>
    </sheetView>
  </sheetViews>
  <sheetFormatPr defaultRowHeight="15" zeroHeight="1"/>
  <cols>
    <col min="1" max="1" width="9.140625" style="37"/>
    <col min="4" max="4" width="16.140625" customWidth="1"/>
    <col min="5" max="5" width="11.5703125" customWidth="1"/>
    <col min="6" max="6" width="16.140625" customWidth="1"/>
  </cols>
  <sheetData>
    <row r="1" spans="1:6">
      <c r="A1" s="37" t="str">
        <f>IF(LEN('xTremeExcel - Kamal Girdher'!H6)&gt;0,'xTremeExcel - Kamal Girdher'!H6&amp; $C$1, "")</f>
        <v/>
      </c>
      <c r="C1" t="str">
        <f>SUBSTITUTE('xTremeExcel - Kamal Girdher'!H5,"*","")</f>
        <v>.jpg</v>
      </c>
      <c r="F1" s="42" t="s">
        <v>20</v>
      </c>
    </row>
    <row r="2" spans="1:6">
      <c r="A2" s="37" t="str">
        <f>IF(LEN('xTremeExcel - Kamal Girdher'!H7)&gt;0,'xTremeExcel - Kamal Girdher'!H7&amp; $C$1, "")</f>
        <v/>
      </c>
      <c r="F2" t="str">
        <f>'xTremeExcel - Kamal Girdher'!K15</f>
        <v>*.jpg</v>
      </c>
    </row>
    <row r="3" spans="1:6">
      <c r="A3" s="37" t="str">
        <f>IF(LEN('xTremeExcel - Kamal Girdher'!H8)&gt;0,'xTremeExcel - Kamal Girdher'!H8&amp; $C$1, "")</f>
        <v/>
      </c>
      <c r="F3" t="str">
        <f>"*.*"</f>
        <v>*.*</v>
      </c>
    </row>
    <row r="4" spans="1:6">
      <c r="A4" s="37" t="str">
        <f>IF(LEN('xTremeExcel - Kamal Girdher'!H9)&gt;0,'xTremeExcel - Kamal Girdher'!H9&amp; $C$1, "")</f>
        <v/>
      </c>
      <c r="F4" t="s">
        <v>24</v>
      </c>
    </row>
    <row r="5" spans="1:6">
      <c r="A5" s="37" t="str">
        <f>IF(LEN('xTremeExcel - Kamal Girdher'!H10)&gt;0,'xTremeExcel - Kamal Girdher'!H10&amp; $C$1, "")</f>
        <v/>
      </c>
      <c r="F5" t="s">
        <v>25</v>
      </c>
    </row>
    <row r="6" spans="1:6">
      <c r="A6" s="37" t="str">
        <f>IF(LEN('xTremeExcel - Kamal Girdher'!H11)&gt;0,'xTremeExcel - Kamal Girdher'!H11&amp; $C$1, "")</f>
        <v/>
      </c>
      <c r="F6" s="43" t="s">
        <v>22</v>
      </c>
    </row>
    <row r="7" spans="1:6">
      <c r="A7" s="37" t="str">
        <f>IF(LEN('xTremeExcel - Kamal Girdher'!H12)&gt;0,'xTremeExcel - Kamal Girdher'!H12&amp; $C$1, "")</f>
        <v/>
      </c>
      <c r="F7" t="s">
        <v>26</v>
      </c>
    </row>
    <row r="8" spans="1:6">
      <c r="A8" s="37" t="str">
        <f>IF(LEN('xTremeExcel - Kamal Girdher'!H13)&gt;0,'xTremeExcel - Kamal Girdher'!H13&amp; $C$1, "")</f>
        <v/>
      </c>
      <c r="F8" t="s">
        <v>27</v>
      </c>
    </row>
    <row r="9" spans="1:6">
      <c r="A9" s="37" t="str">
        <f>IF(LEN('xTremeExcel - Kamal Girdher'!H14)&gt;0,'xTremeExcel - Kamal Girdher'!H14&amp; $C$1, "")</f>
        <v/>
      </c>
      <c r="F9" s="43" t="s">
        <v>21</v>
      </c>
    </row>
    <row r="10" spans="1:6">
      <c r="A10" s="37" t="str">
        <f>IF(LEN('xTremeExcel - Kamal Girdher'!H15)&gt;0,'xTremeExcel - Kamal Girdher'!H15&amp; $C$1, "")</f>
        <v/>
      </c>
      <c r="F10" t="s">
        <v>28</v>
      </c>
    </row>
    <row r="11" spans="1:6">
      <c r="A11" s="37" t="str">
        <f>IF(LEN('xTremeExcel - Kamal Girdher'!H16)&gt;0,'xTremeExcel - Kamal Girdher'!H16&amp; $C$1, "")</f>
        <v/>
      </c>
      <c r="F11" t="s">
        <v>29</v>
      </c>
    </row>
    <row r="12" spans="1:6">
      <c r="A12" s="37" t="str">
        <f>IF(LEN('xTremeExcel - Kamal Girdher'!H17)&gt;0,'xTremeExcel - Kamal Girdher'!H17&amp; $C$1, "")</f>
        <v/>
      </c>
      <c r="F12" t="str">
        <f>"======"</f>
        <v>======</v>
      </c>
    </row>
    <row r="13" spans="1:6">
      <c r="A13" s="37" t="str">
        <f>IF(LEN('xTremeExcel - Kamal Girdher'!H18)&gt;0,'xTremeExcel - Kamal Girdher'!H18&amp; $C$1, "")</f>
        <v/>
      </c>
    </row>
    <row r="14" spans="1:6">
      <c r="A14" s="37" t="str">
        <f>IF(LEN('xTremeExcel - Kamal Girdher'!H19)&gt;0,'xTremeExcel - Kamal Girdher'!H19&amp; $C$1, "")</f>
        <v/>
      </c>
    </row>
    <row r="15" spans="1:6">
      <c r="A15" s="37" t="str">
        <f>IF(LEN('xTremeExcel - Kamal Girdher'!H20)&gt;0,'xTremeExcel - Kamal Girdher'!H20&amp; $C$1, "")</f>
        <v/>
      </c>
    </row>
    <row r="16" spans="1:6">
      <c r="A16" s="37" t="str">
        <f>IF(LEN('xTremeExcel - Kamal Girdher'!H21)&gt;0,'xTremeExcel - Kamal Girdher'!H21&amp; $C$1, "")</f>
        <v/>
      </c>
    </row>
    <row r="17" spans="1:1">
      <c r="A17" s="37" t="str">
        <f>IF(LEN('xTremeExcel - Kamal Girdher'!H22)&gt;0,'xTremeExcel - Kamal Girdher'!H22&amp; $C$1, "")</f>
        <v/>
      </c>
    </row>
    <row r="18" spans="1:1">
      <c r="A18" s="37" t="str">
        <f>IF(LEN('xTremeExcel - Kamal Girdher'!H23)&gt;0,'xTremeExcel - Kamal Girdher'!H23&amp; $C$1, "")</f>
        <v/>
      </c>
    </row>
    <row r="19" spans="1:1">
      <c r="A19" s="37" t="str">
        <f>IF(LEN('xTremeExcel - Kamal Girdher'!H24)&gt;0,'xTremeExcel - Kamal Girdher'!H24&amp; $C$1, "")</f>
        <v/>
      </c>
    </row>
    <row r="20" spans="1:1">
      <c r="A20" s="37" t="str">
        <f>IF(LEN('xTremeExcel - Kamal Girdher'!H25)&gt;0,'xTremeExcel - Kamal Girdher'!H25&amp; $C$1, "")</f>
        <v/>
      </c>
    </row>
    <row r="21" spans="1:1">
      <c r="A21" s="37" t="str">
        <f>IF(LEN('xTremeExcel - Kamal Girdher'!H26)&gt;0,'xTremeExcel - Kamal Girdher'!H26&amp; $C$1, "")</f>
        <v/>
      </c>
    </row>
    <row r="22" spans="1:1">
      <c r="A22" s="37" t="str">
        <f>IF(LEN('xTremeExcel - Kamal Girdher'!H27)&gt;0,'xTremeExcel - Kamal Girdher'!H27&amp; $C$1, "")</f>
        <v/>
      </c>
    </row>
    <row r="23" spans="1:1">
      <c r="A23" s="37" t="str">
        <f>IF(LEN('xTremeExcel - Kamal Girdher'!H28)&gt;0,'xTremeExcel - Kamal Girdher'!H28&amp; $C$1, "")</f>
        <v/>
      </c>
    </row>
    <row r="24" spans="1:1">
      <c r="A24" s="37" t="str">
        <f>IF(LEN('xTremeExcel - Kamal Girdher'!H29)&gt;0,'xTremeExcel - Kamal Girdher'!H29&amp; $C$1, "")</f>
        <v/>
      </c>
    </row>
    <row r="25" spans="1:1">
      <c r="A25" s="37" t="str">
        <f>IF(LEN('xTremeExcel - Kamal Girdher'!H30)&gt;0,'xTremeExcel - Kamal Girdher'!H30&amp; $C$1, "")</f>
        <v/>
      </c>
    </row>
    <row r="26" spans="1:1">
      <c r="A26" s="37" t="str">
        <f>IF(LEN('xTremeExcel - Kamal Girdher'!H31)&gt;0,'xTremeExcel - Kamal Girdher'!H31&amp; $C$1, "")</f>
        <v/>
      </c>
    </row>
    <row r="27" spans="1:1">
      <c r="A27" s="37" t="str">
        <f>IF(LEN('xTremeExcel - Kamal Girdher'!H32)&gt;0,'xTremeExcel - Kamal Girdher'!H32&amp; $C$1, "")</f>
        <v/>
      </c>
    </row>
    <row r="28" spans="1:1">
      <c r="A28" s="37" t="str">
        <f>IF(LEN('xTremeExcel - Kamal Girdher'!H33)&gt;0,'xTremeExcel - Kamal Girdher'!H33&amp; $C$1, "")</f>
        <v/>
      </c>
    </row>
    <row r="29" spans="1:1">
      <c r="A29" s="37" t="str">
        <f>IF(LEN('xTremeExcel - Kamal Girdher'!H34)&gt;0,'xTremeExcel - Kamal Girdher'!H34&amp; $C$1, "")</f>
        <v/>
      </c>
    </row>
    <row r="30" spans="1:1">
      <c r="A30" s="37" t="str">
        <f>IF(LEN('xTremeExcel - Kamal Girdher'!H35)&gt;0,'xTremeExcel - Kamal Girdher'!H35&amp; $C$1, "")</f>
        <v/>
      </c>
    </row>
    <row r="31" spans="1:1">
      <c r="A31" s="37" t="str">
        <f>IF(LEN('xTremeExcel - Kamal Girdher'!H36)&gt;0,'xTremeExcel - Kamal Girdher'!H36&amp; $C$1, "")</f>
        <v/>
      </c>
    </row>
    <row r="32" spans="1:1">
      <c r="A32" s="37" t="str">
        <f>IF(LEN('xTremeExcel - Kamal Girdher'!H37)&gt;0,'xTremeExcel - Kamal Girdher'!H37&amp; $C$1, "")</f>
        <v/>
      </c>
    </row>
    <row r="33" spans="1:1">
      <c r="A33" s="37" t="str">
        <f>IF(LEN('xTremeExcel - Kamal Girdher'!H38)&gt;0,'xTremeExcel - Kamal Girdher'!H38&amp; $C$1, "")</f>
        <v/>
      </c>
    </row>
    <row r="34" spans="1:1">
      <c r="A34" s="37" t="str">
        <f>IF(LEN('xTremeExcel - Kamal Girdher'!H39)&gt;0,'xTremeExcel - Kamal Girdher'!H39&amp; $C$1, "")</f>
        <v/>
      </c>
    </row>
    <row r="35" spans="1:1">
      <c r="A35" s="37" t="str">
        <f>IF(LEN('xTremeExcel - Kamal Girdher'!H40)&gt;0,'xTremeExcel - Kamal Girdher'!H40&amp; $C$1, "")</f>
        <v/>
      </c>
    </row>
    <row r="36" spans="1:1">
      <c r="A36" s="37" t="str">
        <f>IF(LEN('xTremeExcel - Kamal Girdher'!H41)&gt;0,'xTremeExcel - Kamal Girdher'!H41&amp; $C$1, "")</f>
        <v/>
      </c>
    </row>
    <row r="37" spans="1:1">
      <c r="A37" s="37" t="str">
        <f>IF(LEN('xTremeExcel - Kamal Girdher'!H42)&gt;0,'xTremeExcel - Kamal Girdher'!H42&amp; $C$1, "")</f>
        <v/>
      </c>
    </row>
    <row r="38" spans="1:1">
      <c r="A38" s="37" t="str">
        <f>IF(LEN('xTremeExcel - Kamal Girdher'!H43)&gt;0,'xTremeExcel - Kamal Girdher'!H43&amp; $C$1, "")</f>
        <v/>
      </c>
    </row>
    <row r="39" spans="1:1">
      <c r="A39" s="37" t="str">
        <f>IF(LEN('xTremeExcel - Kamal Girdher'!H44)&gt;0,'xTremeExcel - Kamal Girdher'!H44&amp; $C$1, "")</f>
        <v/>
      </c>
    </row>
    <row r="40" spans="1:1">
      <c r="A40" s="37" t="str">
        <f>IF(LEN('xTremeExcel - Kamal Girdher'!H45)&gt;0,'xTremeExcel - Kamal Girdher'!H45&amp; $C$1, "")</f>
        <v/>
      </c>
    </row>
    <row r="41" spans="1:1">
      <c r="A41" s="37" t="str">
        <f>IF(LEN('xTremeExcel - Kamal Girdher'!H46)&gt;0,'xTremeExcel - Kamal Girdher'!H46&amp; $C$1, "")</f>
        <v/>
      </c>
    </row>
    <row r="42" spans="1:1">
      <c r="A42" s="37" t="str">
        <f>IF(LEN('xTremeExcel - Kamal Girdher'!H47)&gt;0,'xTremeExcel - Kamal Girdher'!H47&amp; $C$1, "")</f>
        <v/>
      </c>
    </row>
    <row r="43" spans="1:1">
      <c r="A43" s="37" t="str">
        <f>IF(LEN('xTremeExcel - Kamal Girdher'!H48)&gt;0,'xTremeExcel - Kamal Girdher'!H48&amp; $C$1, "")</f>
        <v/>
      </c>
    </row>
    <row r="44" spans="1:1">
      <c r="A44" s="37" t="str">
        <f>IF(LEN('xTremeExcel - Kamal Girdher'!H49)&gt;0,'xTremeExcel - Kamal Girdher'!H49&amp; $C$1, "")</f>
        <v/>
      </c>
    </row>
    <row r="45" spans="1:1">
      <c r="A45" s="37" t="str">
        <f>IF(LEN('xTremeExcel - Kamal Girdher'!H50)&gt;0,'xTremeExcel - Kamal Girdher'!H50&amp; $C$1, "")</f>
        <v/>
      </c>
    </row>
    <row r="46" spans="1:1">
      <c r="A46" s="37" t="str">
        <f>IF(LEN('xTremeExcel - Kamal Girdher'!H51)&gt;0,'xTremeExcel - Kamal Girdher'!H51&amp; $C$1, "")</f>
        <v/>
      </c>
    </row>
    <row r="47" spans="1:1">
      <c r="A47" s="37" t="str">
        <f>IF(LEN('xTremeExcel - Kamal Girdher'!H52)&gt;0,'xTremeExcel - Kamal Girdher'!H52&amp; $C$1, "")</f>
        <v/>
      </c>
    </row>
    <row r="48" spans="1:1">
      <c r="A48" s="37" t="str">
        <f>IF(LEN('xTremeExcel - Kamal Girdher'!H53)&gt;0,'xTremeExcel - Kamal Girdher'!H53&amp; $C$1, "")</f>
        <v/>
      </c>
    </row>
    <row r="49" spans="1:1">
      <c r="A49" s="37" t="str">
        <f>IF(LEN('xTremeExcel - Kamal Girdher'!H54)&gt;0,'xTremeExcel - Kamal Girdher'!H54&amp; $C$1, "")</f>
        <v/>
      </c>
    </row>
    <row r="50" spans="1:1">
      <c r="A50" s="37" t="str">
        <f>IF(LEN('xTremeExcel - Kamal Girdher'!H55)&gt;0,'xTremeExcel - Kamal Girdher'!H55&amp; $C$1, "")</f>
        <v/>
      </c>
    </row>
    <row r="51" spans="1:1">
      <c r="A51" s="37" t="str">
        <f>IF(LEN('xTremeExcel - Kamal Girdher'!H56)&gt;0,'xTremeExcel - Kamal Girdher'!H56&amp; $C$1, "")</f>
        <v/>
      </c>
    </row>
    <row r="52" spans="1:1">
      <c r="A52" s="37" t="str">
        <f>IF(LEN('xTremeExcel - Kamal Girdher'!H57)&gt;0,'xTremeExcel - Kamal Girdher'!H57&amp; $C$1, "")</f>
        <v/>
      </c>
    </row>
    <row r="53" spans="1:1">
      <c r="A53" s="37" t="str">
        <f>IF(LEN('xTremeExcel - Kamal Girdher'!H58)&gt;0,'xTremeExcel - Kamal Girdher'!H58&amp; $C$1, "")</f>
        <v/>
      </c>
    </row>
    <row r="54" spans="1:1">
      <c r="A54" s="37" t="str">
        <f>IF(LEN('xTremeExcel - Kamal Girdher'!H59)&gt;0,'xTremeExcel - Kamal Girdher'!H59&amp; $C$1, "")</f>
        <v/>
      </c>
    </row>
    <row r="55" spans="1:1">
      <c r="A55" s="37" t="str">
        <f>IF(LEN('xTremeExcel - Kamal Girdher'!H60)&gt;0,'xTremeExcel - Kamal Girdher'!H60&amp; $C$1, "")</f>
        <v/>
      </c>
    </row>
    <row r="56" spans="1:1">
      <c r="A56" s="37" t="str">
        <f>IF(LEN('xTremeExcel - Kamal Girdher'!H61)&gt;0,'xTremeExcel - Kamal Girdher'!H61&amp; $C$1, "")</f>
        <v/>
      </c>
    </row>
    <row r="57" spans="1:1">
      <c r="A57" s="37" t="str">
        <f>IF(LEN('xTremeExcel - Kamal Girdher'!H62)&gt;0,'xTremeExcel - Kamal Girdher'!H62&amp; $C$1, "")</f>
        <v/>
      </c>
    </row>
    <row r="58" spans="1:1">
      <c r="A58" s="37" t="str">
        <f>IF(LEN('xTremeExcel - Kamal Girdher'!H63)&gt;0,'xTremeExcel - Kamal Girdher'!H63&amp; $C$1, "")</f>
        <v/>
      </c>
    </row>
    <row r="59" spans="1:1">
      <c r="A59" s="37" t="str">
        <f>IF(LEN('xTremeExcel - Kamal Girdher'!H64)&gt;0,'xTremeExcel - Kamal Girdher'!H64&amp; $C$1, "")</f>
        <v/>
      </c>
    </row>
    <row r="60" spans="1:1">
      <c r="A60" s="37" t="str">
        <f>IF(LEN('xTremeExcel - Kamal Girdher'!H65)&gt;0,'xTremeExcel - Kamal Girdher'!H65&amp; $C$1, "")</f>
        <v/>
      </c>
    </row>
    <row r="61" spans="1:1">
      <c r="A61" s="37" t="str">
        <f>IF(LEN('xTremeExcel - Kamal Girdher'!H66)&gt;0,'xTremeExcel - Kamal Girdher'!H66&amp; $C$1, "")</f>
        <v/>
      </c>
    </row>
    <row r="62" spans="1:1">
      <c r="A62" s="37" t="str">
        <f>IF(LEN('xTremeExcel - Kamal Girdher'!H67)&gt;0,'xTremeExcel - Kamal Girdher'!H67&amp; $C$1, "")</f>
        <v/>
      </c>
    </row>
    <row r="63" spans="1:1">
      <c r="A63" s="37" t="str">
        <f>IF(LEN('xTremeExcel - Kamal Girdher'!H68)&gt;0,'xTremeExcel - Kamal Girdher'!H68&amp; $C$1, "")</f>
        <v/>
      </c>
    </row>
    <row r="64" spans="1:1">
      <c r="A64" s="37" t="str">
        <f>IF(LEN('xTremeExcel - Kamal Girdher'!H69)&gt;0,'xTremeExcel - Kamal Girdher'!H69&amp; $C$1, "")</f>
        <v/>
      </c>
    </row>
    <row r="65" spans="1:1">
      <c r="A65" s="37" t="str">
        <f>IF(LEN('xTremeExcel - Kamal Girdher'!H70)&gt;0,'xTremeExcel - Kamal Girdher'!H70&amp; $C$1, "")</f>
        <v/>
      </c>
    </row>
    <row r="66" spans="1:1">
      <c r="A66" s="37" t="str">
        <f>IF(LEN('xTremeExcel - Kamal Girdher'!H71)&gt;0,'xTremeExcel - Kamal Girdher'!H71&amp; $C$1, "")</f>
        <v/>
      </c>
    </row>
    <row r="67" spans="1:1">
      <c r="A67" s="37" t="str">
        <f>IF(LEN('xTremeExcel - Kamal Girdher'!H72)&gt;0,'xTremeExcel - Kamal Girdher'!H72&amp; $C$1, "")</f>
        <v/>
      </c>
    </row>
    <row r="68" spans="1:1">
      <c r="A68" s="37" t="str">
        <f>IF(LEN('xTremeExcel - Kamal Girdher'!H73)&gt;0,'xTremeExcel - Kamal Girdher'!H73&amp; $C$1, "")</f>
        <v/>
      </c>
    </row>
    <row r="69" spans="1:1">
      <c r="A69" s="37" t="str">
        <f>IF(LEN('xTremeExcel - Kamal Girdher'!H74)&gt;0,'xTremeExcel - Kamal Girdher'!H74&amp; $C$1, "")</f>
        <v/>
      </c>
    </row>
    <row r="70" spans="1:1">
      <c r="A70" s="37" t="str">
        <f>IF(LEN('xTremeExcel - Kamal Girdher'!H75)&gt;0,'xTremeExcel - Kamal Girdher'!H75&amp; $C$1, "")</f>
        <v/>
      </c>
    </row>
    <row r="71" spans="1:1">
      <c r="A71" s="37" t="str">
        <f>IF(LEN('xTremeExcel - Kamal Girdher'!H76)&gt;0,'xTremeExcel - Kamal Girdher'!H76&amp; $C$1, "")</f>
        <v/>
      </c>
    </row>
    <row r="72" spans="1:1">
      <c r="A72" s="37" t="str">
        <f>IF(LEN('xTremeExcel - Kamal Girdher'!H77)&gt;0,'xTremeExcel - Kamal Girdher'!H77&amp; $C$1, "")</f>
        <v/>
      </c>
    </row>
    <row r="73" spans="1:1">
      <c r="A73" s="37" t="str">
        <f>IF(LEN('xTremeExcel - Kamal Girdher'!H78)&gt;0,'xTremeExcel - Kamal Girdher'!H78&amp; $C$1, "")</f>
        <v/>
      </c>
    </row>
    <row r="74" spans="1:1">
      <c r="A74" s="37" t="str">
        <f>IF(LEN('xTremeExcel - Kamal Girdher'!H79)&gt;0,'xTremeExcel - Kamal Girdher'!H79&amp; $C$1, "")</f>
        <v/>
      </c>
    </row>
    <row r="75" spans="1:1">
      <c r="A75" s="37" t="str">
        <f>IF(LEN('xTremeExcel - Kamal Girdher'!H80)&gt;0,'xTremeExcel - Kamal Girdher'!H80&amp; $C$1, "")</f>
        <v/>
      </c>
    </row>
    <row r="76" spans="1:1">
      <c r="A76" s="37" t="str">
        <f>IF(LEN('xTremeExcel - Kamal Girdher'!H81)&gt;0,'xTremeExcel - Kamal Girdher'!H81&amp; $C$1, "")</f>
        <v/>
      </c>
    </row>
    <row r="77" spans="1:1">
      <c r="A77" s="37" t="str">
        <f>IF(LEN('xTremeExcel - Kamal Girdher'!H82)&gt;0,'xTremeExcel - Kamal Girdher'!H82&amp; $C$1, "")</f>
        <v/>
      </c>
    </row>
    <row r="78" spans="1:1">
      <c r="A78" s="37" t="str">
        <f>IF(LEN('xTremeExcel - Kamal Girdher'!H83)&gt;0,'xTremeExcel - Kamal Girdher'!H83&amp; $C$1, "")</f>
        <v/>
      </c>
    </row>
    <row r="79" spans="1:1">
      <c r="A79" s="37" t="str">
        <f>IF(LEN('xTremeExcel - Kamal Girdher'!H84)&gt;0,'xTremeExcel - Kamal Girdher'!H84&amp; $C$1, "")</f>
        <v/>
      </c>
    </row>
    <row r="80" spans="1:1">
      <c r="A80" s="37" t="str">
        <f>IF(LEN('xTremeExcel - Kamal Girdher'!H85)&gt;0,'xTremeExcel - Kamal Girdher'!H85&amp; $C$1, "")</f>
        <v/>
      </c>
    </row>
    <row r="81" spans="1:1">
      <c r="A81" s="37" t="str">
        <f>IF(LEN('xTremeExcel - Kamal Girdher'!H86)&gt;0,'xTremeExcel - Kamal Girdher'!H86&amp; $C$1, "")</f>
        <v/>
      </c>
    </row>
    <row r="82" spans="1:1">
      <c r="A82" s="37" t="str">
        <f>IF(LEN('xTremeExcel - Kamal Girdher'!H87)&gt;0,'xTremeExcel - Kamal Girdher'!H87&amp; $C$1, "")</f>
        <v/>
      </c>
    </row>
    <row r="83" spans="1:1">
      <c r="A83" s="37" t="str">
        <f>IF(LEN('xTremeExcel - Kamal Girdher'!H88)&gt;0,'xTremeExcel - Kamal Girdher'!H88&amp; $C$1, "")</f>
        <v/>
      </c>
    </row>
    <row r="84" spans="1:1">
      <c r="A84" s="37" t="str">
        <f>IF(LEN('xTremeExcel - Kamal Girdher'!H89)&gt;0,'xTremeExcel - Kamal Girdher'!H89&amp; $C$1, "")</f>
        <v/>
      </c>
    </row>
    <row r="85" spans="1:1">
      <c r="A85" s="37" t="str">
        <f>IF(LEN('xTremeExcel - Kamal Girdher'!H90)&gt;0,'xTremeExcel - Kamal Girdher'!H90&amp; $C$1, "")</f>
        <v/>
      </c>
    </row>
    <row r="86" spans="1:1">
      <c r="A86" s="37" t="str">
        <f>IF(LEN('xTremeExcel - Kamal Girdher'!H91)&gt;0,'xTremeExcel - Kamal Girdher'!H91&amp; $C$1, "")</f>
        <v/>
      </c>
    </row>
    <row r="87" spans="1:1">
      <c r="A87" s="37" t="str">
        <f>IF(LEN('xTremeExcel - Kamal Girdher'!H92)&gt;0,'xTremeExcel - Kamal Girdher'!H92&amp; $C$1, "")</f>
        <v/>
      </c>
    </row>
    <row r="88" spans="1:1">
      <c r="A88" s="37" t="str">
        <f>IF(LEN('xTremeExcel - Kamal Girdher'!H93)&gt;0,'xTremeExcel - Kamal Girdher'!H93&amp; $C$1, "")</f>
        <v/>
      </c>
    </row>
    <row r="89" spans="1:1">
      <c r="A89" s="37" t="str">
        <f>IF(LEN('xTremeExcel - Kamal Girdher'!H94)&gt;0,'xTremeExcel - Kamal Girdher'!H94&amp; $C$1, "")</f>
        <v/>
      </c>
    </row>
    <row r="90" spans="1:1">
      <c r="A90" s="37" t="str">
        <f>IF(LEN('xTremeExcel - Kamal Girdher'!H95)&gt;0,'xTremeExcel - Kamal Girdher'!H95&amp; $C$1, "")</f>
        <v/>
      </c>
    </row>
    <row r="91" spans="1:1">
      <c r="A91" s="37" t="str">
        <f>IF(LEN('xTremeExcel - Kamal Girdher'!H96)&gt;0,'xTremeExcel - Kamal Girdher'!H96&amp; $C$1, "")</f>
        <v/>
      </c>
    </row>
    <row r="92" spans="1:1">
      <c r="A92" s="37" t="str">
        <f>IF(LEN('xTremeExcel - Kamal Girdher'!H97)&gt;0,'xTremeExcel - Kamal Girdher'!H97&amp; $C$1, "")</f>
        <v/>
      </c>
    </row>
    <row r="93" spans="1:1">
      <c r="A93" s="37" t="str">
        <f>IF(LEN('xTremeExcel - Kamal Girdher'!H98)&gt;0,'xTremeExcel - Kamal Girdher'!H98&amp; $C$1, "")</f>
        <v/>
      </c>
    </row>
    <row r="94" spans="1:1">
      <c r="A94" s="37" t="str">
        <f>IF(LEN('xTremeExcel - Kamal Girdher'!H99)&gt;0,'xTremeExcel - Kamal Girdher'!H99&amp; $C$1, "")</f>
        <v/>
      </c>
    </row>
    <row r="95" spans="1:1">
      <c r="A95" s="37" t="str">
        <f>IF(LEN('xTremeExcel - Kamal Girdher'!H100)&gt;0,'xTremeExcel - Kamal Girdher'!H100&amp; $C$1, "")</f>
        <v/>
      </c>
    </row>
    <row r="96" spans="1:1">
      <c r="A96" s="37" t="str">
        <f>IF(LEN('xTremeExcel - Kamal Girdher'!H101)&gt;0,'xTremeExcel - Kamal Girdher'!H101&amp; $C$1, "")</f>
        <v/>
      </c>
    </row>
    <row r="97" spans="1:1">
      <c r="A97" s="37" t="str">
        <f>IF(LEN('xTremeExcel - Kamal Girdher'!H102)&gt;0,'xTremeExcel - Kamal Girdher'!H102&amp; $C$1, "")</f>
        <v/>
      </c>
    </row>
    <row r="98" spans="1:1">
      <c r="A98" s="37" t="str">
        <f>IF(LEN('xTremeExcel - Kamal Girdher'!H103)&gt;0,'xTremeExcel - Kamal Girdher'!H103&amp; $C$1, "")</f>
        <v/>
      </c>
    </row>
    <row r="99" spans="1:1">
      <c r="A99" s="37" t="str">
        <f>IF(LEN('xTremeExcel - Kamal Girdher'!H104)&gt;0,'xTremeExcel - Kamal Girdher'!H104&amp; $C$1, "")</f>
        <v/>
      </c>
    </row>
    <row r="100" spans="1:1">
      <c r="A100" s="37" t="str">
        <f>IF(LEN('xTremeExcel - Kamal Girdher'!H105)&gt;0,'xTremeExcel - Kamal Girdher'!H105&amp; $C$1, "")</f>
        <v/>
      </c>
    </row>
    <row r="101" spans="1:1">
      <c r="A101" s="37" t="str">
        <f>IF(LEN('xTremeExcel - Kamal Girdher'!H106)&gt;0,'xTremeExcel - Kamal Girdher'!H106&amp; $C$1, "")</f>
        <v/>
      </c>
    </row>
    <row r="102" spans="1:1">
      <c r="A102" s="37" t="str">
        <f>IF(LEN('xTremeExcel - Kamal Girdher'!H107)&gt;0,'xTremeExcel - Kamal Girdher'!H107&amp; $C$1, "")</f>
        <v/>
      </c>
    </row>
    <row r="103" spans="1:1">
      <c r="A103" s="37" t="str">
        <f>IF(LEN('xTremeExcel - Kamal Girdher'!H108)&gt;0,'xTremeExcel - Kamal Girdher'!H108&amp; $C$1, "")</f>
        <v/>
      </c>
    </row>
    <row r="104" spans="1:1">
      <c r="A104" s="37" t="str">
        <f>IF(LEN('xTremeExcel - Kamal Girdher'!H109)&gt;0,'xTremeExcel - Kamal Girdher'!H109&amp; $C$1, "")</f>
        <v/>
      </c>
    </row>
    <row r="105" spans="1:1">
      <c r="A105" s="37" t="str">
        <f>IF(LEN('xTremeExcel - Kamal Girdher'!H110)&gt;0,'xTremeExcel - Kamal Girdher'!H110&amp; $C$1, "")</f>
        <v/>
      </c>
    </row>
    <row r="106" spans="1:1">
      <c r="A106" s="37" t="str">
        <f>IF(LEN('xTremeExcel - Kamal Girdher'!H111)&gt;0,'xTremeExcel - Kamal Girdher'!H111&amp; $C$1, "")</f>
        <v/>
      </c>
    </row>
    <row r="107" spans="1:1">
      <c r="A107" s="37" t="str">
        <f>IF(LEN('xTremeExcel - Kamal Girdher'!H112)&gt;0,'xTremeExcel - Kamal Girdher'!H112&amp; $C$1, "")</f>
        <v/>
      </c>
    </row>
    <row r="108" spans="1:1">
      <c r="A108" s="37" t="str">
        <f>IF(LEN('xTremeExcel - Kamal Girdher'!H113)&gt;0,'xTremeExcel - Kamal Girdher'!H113&amp; $C$1, "")</f>
        <v/>
      </c>
    </row>
    <row r="109" spans="1:1">
      <c r="A109" s="37" t="str">
        <f>IF(LEN('xTremeExcel - Kamal Girdher'!H114)&gt;0,'xTremeExcel - Kamal Girdher'!H114&amp; $C$1, "")</f>
        <v/>
      </c>
    </row>
    <row r="110" spans="1:1">
      <c r="A110" s="37" t="str">
        <f>IF(LEN('xTremeExcel - Kamal Girdher'!H115)&gt;0,'xTremeExcel - Kamal Girdher'!H115&amp; $C$1, "")</f>
        <v/>
      </c>
    </row>
    <row r="111" spans="1:1">
      <c r="A111" s="37" t="str">
        <f>IF(LEN('xTremeExcel - Kamal Girdher'!H116)&gt;0,'xTremeExcel - Kamal Girdher'!H116&amp; $C$1, "")</f>
        <v/>
      </c>
    </row>
    <row r="112" spans="1:1">
      <c r="A112" s="37" t="str">
        <f>IF(LEN('xTremeExcel - Kamal Girdher'!H117)&gt;0,'xTremeExcel - Kamal Girdher'!H117&amp; $C$1, "")</f>
        <v/>
      </c>
    </row>
    <row r="113" spans="1:1">
      <c r="A113" s="37" t="str">
        <f>IF(LEN('xTremeExcel - Kamal Girdher'!H118)&gt;0,'xTremeExcel - Kamal Girdher'!H118&amp; $C$1, "")</f>
        <v/>
      </c>
    </row>
    <row r="114" spans="1:1">
      <c r="A114" s="37" t="str">
        <f>IF(LEN('xTremeExcel - Kamal Girdher'!H119)&gt;0,'xTremeExcel - Kamal Girdher'!H119&amp; $C$1, "")</f>
        <v/>
      </c>
    </row>
    <row r="115" spans="1:1">
      <c r="A115" s="37" t="str">
        <f>IF(LEN('xTremeExcel - Kamal Girdher'!H120)&gt;0,'xTremeExcel - Kamal Girdher'!H120&amp; $C$1, "")</f>
        <v/>
      </c>
    </row>
    <row r="116" spans="1:1">
      <c r="A116" s="37" t="str">
        <f>IF(LEN('xTremeExcel - Kamal Girdher'!H121)&gt;0,'xTremeExcel - Kamal Girdher'!H121&amp; $C$1, "")</f>
        <v/>
      </c>
    </row>
    <row r="117" spans="1:1">
      <c r="A117" s="37" t="str">
        <f>IF(LEN('xTremeExcel - Kamal Girdher'!H122)&gt;0,'xTremeExcel - Kamal Girdher'!H122&amp; $C$1, "")</f>
        <v/>
      </c>
    </row>
    <row r="118" spans="1:1">
      <c r="A118" s="37" t="str">
        <f>IF(LEN('xTremeExcel - Kamal Girdher'!H123)&gt;0,'xTremeExcel - Kamal Girdher'!H123&amp; $C$1, "")</f>
        <v/>
      </c>
    </row>
    <row r="119" spans="1:1">
      <c r="A119" s="37" t="str">
        <f>IF(LEN('xTremeExcel - Kamal Girdher'!H124)&gt;0,'xTremeExcel - Kamal Girdher'!H124&amp; $C$1, "")</f>
        <v/>
      </c>
    </row>
    <row r="120" spans="1:1">
      <c r="A120" s="37" t="str">
        <f>IF(LEN('xTremeExcel - Kamal Girdher'!H125)&gt;0,'xTremeExcel - Kamal Girdher'!H125&amp; $C$1, "")</f>
        <v/>
      </c>
    </row>
    <row r="121" spans="1:1">
      <c r="A121" s="37" t="str">
        <f>IF(LEN('xTremeExcel - Kamal Girdher'!H126)&gt;0,'xTremeExcel - Kamal Girdher'!H126&amp; $C$1, "")</f>
        <v/>
      </c>
    </row>
    <row r="122" spans="1:1">
      <c r="A122" s="37" t="str">
        <f>IF(LEN('xTremeExcel - Kamal Girdher'!H127)&gt;0,'xTremeExcel - Kamal Girdher'!H127&amp; $C$1, "")</f>
        <v/>
      </c>
    </row>
    <row r="123" spans="1:1">
      <c r="A123" s="37" t="str">
        <f>IF(LEN('xTremeExcel - Kamal Girdher'!H128)&gt;0,'xTremeExcel - Kamal Girdher'!H128&amp; $C$1, "")</f>
        <v/>
      </c>
    </row>
    <row r="124" spans="1:1">
      <c r="A124" s="37" t="str">
        <f>IF(LEN('xTremeExcel - Kamal Girdher'!H129)&gt;0,'xTremeExcel - Kamal Girdher'!H129&amp; $C$1, "")</f>
        <v/>
      </c>
    </row>
    <row r="125" spans="1:1">
      <c r="A125" s="37" t="str">
        <f>IF(LEN('xTremeExcel - Kamal Girdher'!H130)&gt;0,'xTremeExcel - Kamal Girdher'!H130&amp; $C$1, "")</f>
        <v/>
      </c>
    </row>
    <row r="126" spans="1:1">
      <c r="A126" s="37" t="str">
        <f>IF(LEN('xTremeExcel - Kamal Girdher'!H131)&gt;0,'xTremeExcel - Kamal Girdher'!H131&amp; $C$1, "")</f>
        <v/>
      </c>
    </row>
    <row r="127" spans="1:1">
      <c r="A127" s="37" t="str">
        <f>IF(LEN('xTremeExcel - Kamal Girdher'!H132)&gt;0,'xTremeExcel - Kamal Girdher'!H132&amp; $C$1, "")</f>
        <v/>
      </c>
    </row>
    <row r="128" spans="1:1">
      <c r="A128" s="37" t="str">
        <f>IF(LEN('xTremeExcel - Kamal Girdher'!H133)&gt;0,'xTremeExcel - Kamal Girdher'!H133&amp; $C$1, "")</f>
        <v/>
      </c>
    </row>
    <row r="129" spans="1:1">
      <c r="A129" s="37" t="str">
        <f>IF(LEN('xTremeExcel - Kamal Girdher'!H134)&gt;0,'xTremeExcel - Kamal Girdher'!H134&amp; $C$1, "")</f>
        <v/>
      </c>
    </row>
    <row r="130" spans="1:1">
      <c r="A130" s="37" t="str">
        <f>IF(LEN('xTremeExcel - Kamal Girdher'!H135)&gt;0,'xTremeExcel - Kamal Girdher'!H135&amp; $C$1, "")</f>
        <v/>
      </c>
    </row>
    <row r="131" spans="1:1">
      <c r="A131" s="37" t="str">
        <f>IF(LEN('xTremeExcel - Kamal Girdher'!H136)&gt;0,'xTremeExcel - Kamal Girdher'!H136&amp; $C$1, "")</f>
        <v/>
      </c>
    </row>
    <row r="132" spans="1:1">
      <c r="A132" s="37" t="str">
        <f>IF(LEN('xTremeExcel - Kamal Girdher'!H137)&gt;0,'xTremeExcel - Kamal Girdher'!H137&amp; $C$1, "")</f>
        <v/>
      </c>
    </row>
    <row r="133" spans="1:1">
      <c r="A133" s="37" t="str">
        <f>IF(LEN('xTremeExcel - Kamal Girdher'!H138)&gt;0,'xTremeExcel - Kamal Girdher'!H138&amp; $C$1, "")</f>
        <v/>
      </c>
    </row>
    <row r="134" spans="1:1">
      <c r="A134" s="37" t="str">
        <f>IF(LEN('xTremeExcel - Kamal Girdher'!H139)&gt;0,'xTremeExcel - Kamal Girdher'!H139&amp; $C$1, "")</f>
        <v/>
      </c>
    </row>
    <row r="135" spans="1:1">
      <c r="A135" s="37" t="str">
        <f>IF(LEN('xTremeExcel - Kamal Girdher'!H140)&gt;0,'xTremeExcel - Kamal Girdher'!H140&amp; $C$1, "")</f>
        <v/>
      </c>
    </row>
    <row r="136" spans="1:1">
      <c r="A136" s="37" t="str">
        <f>IF(LEN('xTremeExcel - Kamal Girdher'!H141)&gt;0,'xTremeExcel - Kamal Girdher'!H141&amp; $C$1, "")</f>
        <v/>
      </c>
    </row>
    <row r="137" spans="1:1">
      <c r="A137" s="37" t="str">
        <f>IF(LEN('xTremeExcel - Kamal Girdher'!H142)&gt;0,'xTremeExcel - Kamal Girdher'!H142&amp; $C$1, "")</f>
        <v/>
      </c>
    </row>
    <row r="138" spans="1:1">
      <c r="A138" s="37" t="str">
        <f>IF(LEN('xTremeExcel - Kamal Girdher'!H143)&gt;0,'xTremeExcel - Kamal Girdher'!H143&amp; $C$1, "")</f>
        <v/>
      </c>
    </row>
    <row r="139" spans="1:1">
      <c r="A139" s="37" t="str">
        <f>IF(LEN('xTremeExcel - Kamal Girdher'!H144)&gt;0,'xTremeExcel - Kamal Girdher'!H144&amp; $C$1, "")</f>
        <v/>
      </c>
    </row>
    <row r="140" spans="1:1">
      <c r="A140" s="37" t="str">
        <f>IF(LEN('xTremeExcel - Kamal Girdher'!H145)&gt;0,'xTremeExcel - Kamal Girdher'!H145&amp; $C$1, "")</f>
        <v/>
      </c>
    </row>
    <row r="141" spans="1:1">
      <c r="A141" s="37" t="str">
        <f>IF(LEN('xTremeExcel - Kamal Girdher'!H146)&gt;0,'xTremeExcel - Kamal Girdher'!H146&amp; $C$1, "")</f>
        <v/>
      </c>
    </row>
    <row r="142" spans="1:1">
      <c r="A142" s="37" t="str">
        <f>IF(LEN('xTremeExcel - Kamal Girdher'!H147)&gt;0,'xTremeExcel - Kamal Girdher'!H147&amp; $C$1, "")</f>
        <v/>
      </c>
    </row>
    <row r="143" spans="1:1">
      <c r="A143" s="37" t="str">
        <f>IF(LEN('xTremeExcel - Kamal Girdher'!H148)&gt;0,'xTremeExcel - Kamal Girdher'!H148&amp; $C$1, "")</f>
        <v/>
      </c>
    </row>
    <row r="144" spans="1:1">
      <c r="A144" s="37" t="str">
        <f>IF(LEN('xTremeExcel - Kamal Girdher'!H149)&gt;0,'xTremeExcel - Kamal Girdher'!H149&amp; $C$1, "")</f>
        <v/>
      </c>
    </row>
    <row r="145" spans="1:1">
      <c r="A145" s="37" t="str">
        <f>IF(LEN('xTremeExcel - Kamal Girdher'!H150)&gt;0,'xTremeExcel - Kamal Girdher'!H150&amp; $C$1, "")</f>
        <v/>
      </c>
    </row>
    <row r="146" spans="1:1">
      <c r="A146" s="37" t="str">
        <f>IF(LEN('xTremeExcel - Kamal Girdher'!H151)&gt;0,'xTremeExcel - Kamal Girdher'!H151&amp; $C$1, "")</f>
        <v/>
      </c>
    </row>
    <row r="147" spans="1:1">
      <c r="A147" s="37" t="str">
        <f>IF(LEN('xTremeExcel - Kamal Girdher'!H152)&gt;0,'xTremeExcel - Kamal Girdher'!H152&amp; $C$1, "")</f>
        <v/>
      </c>
    </row>
    <row r="148" spans="1:1">
      <c r="A148" s="37" t="str">
        <f>IF(LEN('xTremeExcel - Kamal Girdher'!H153)&gt;0,'xTremeExcel - Kamal Girdher'!H153&amp; $C$1, "")</f>
        <v/>
      </c>
    </row>
    <row r="149" spans="1:1">
      <c r="A149" s="37" t="str">
        <f>IF(LEN('xTremeExcel - Kamal Girdher'!H154)&gt;0,'xTremeExcel - Kamal Girdher'!H154&amp; $C$1, "")</f>
        <v/>
      </c>
    </row>
    <row r="150" spans="1:1">
      <c r="A150" s="37" t="str">
        <f>IF(LEN('xTremeExcel - Kamal Girdher'!H155)&gt;0,'xTremeExcel - Kamal Girdher'!H155&amp; $C$1, "")</f>
        <v/>
      </c>
    </row>
    <row r="151" spans="1:1">
      <c r="A151" s="37" t="str">
        <f>IF(LEN('xTremeExcel - Kamal Girdher'!H156)&gt;0,'xTremeExcel - Kamal Girdher'!H156&amp; $C$1, "")</f>
        <v/>
      </c>
    </row>
    <row r="152" spans="1:1">
      <c r="A152" s="37" t="str">
        <f>IF(LEN('xTremeExcel - Kamal Girdher'!H157)&gt;0,'xTremeExcel - Kamal Girdher'!H157&amp; $C$1, "")</f>
        <v/>
      </c>
    </row>
    <row r="153" spans="1:1">
      <c r="A153" s="37" t="str">
        <f>IF(LEN('xTremeExcel - Kamal Girdher'!H158)&gt;0,'xTremeExcel - Kamal Girdher'!H158&amp; $C$1, "")</f>
        <v/>
      </c>
    </row>
    <row r="154" spans="1:1">
      <c r="A154" s="37" t="str">
        <f>IF(LEN('xTremeExcel - Kamal Girdher'!H159)&gt;0,'xTremeExcel - Kamal Girdher'!H159&amp; $C$1, "")</f>
        <v/>
      </c>
    </row>
    <row r="155" spans="1:1">
      <c r="A155" s="37" t="str">
        <f>IF(LEN('xTremeExcel - Kamal Girdher'!H160)&gt;0,'xTremeExcel - Kamal Girdher'!H160&amp; $C$1, "")</f>
        <v/>
      </c>
    </row>
    <row r="156" spans="1:1">
      <c r="A156" s="37" t="str">
        <f>IF(LEN('xTremeExcel - Kamal Girdher'!H161)&gt;0,'xTremeExcel - Kamal Girdher'!H161&amp; $C$1, "")</f>
        <v/>
      </c>
    </row>
    <row r="157" spans="1:1">
      <c r="A157" s="37" t="str">
        <f>IF(LEN('xTremeExcel - Kamal Girdher'!H162)&gt;0,'xTremeExcel - Kamal Girdher'!H162&amp; $C$1, "")</f>
        <v/>
      </c>
    </row>
    <row r="158" spans="1:1">
      <c r="A158" s="37" t="str">
        <f>IF(LEN('xTremeExcel - Kamal Girdher'!H163)&gt;0,'xTremeExcel - Kamal Girdher'!H163&amp; $C$1, "")</f>
        <v/>
      </c>
    </row>
    <row r="159" spans="1:1">
      <c r="A159" s="37" t="str">
        <f>IF(LEN('xTremeExcel - Kamal Girdher'!H164)&gt;0,'xTremeExcel - Kamal Girdher'!H164&amp; $C$1, "")</f>
        <v/>
      </c>
    </row>
    <row r="160" spans="1:1">
      <c r="A160" s="37" t="str">
        <f>IF(LEN('xTremeExcel - Kamal Girdher'!H165)&gt;0,'xTremeExcel - Kamal Girdher'!H165&amp; $C$1, "")</f>
        <v/>
      </c>
    </row>
    <row r="161" spans="1:1">
      <c r="A161" s="37" t="str">
        <f>IF(LEN('xTremeExcel - Kamal Girdher'!H166)&gt;0,'xTremeExcel - Kamal Girdher'!H166&amp; $C$1, "")</f>
        <v/>
      </c>
    </row>
    <row r="162" spans="1:1">
      <c r="A162" s="37" t="str">
        <f>IF(LEN('xTremeExcel - Kamal Girdher'!H167)&gt;0,'xTremeExcel - Kamal Girdher'!H167&amp; $C$1, "")</f>
        <v/>
      </c>
    </row>
    <row r="163" spans="1:1">
      <c r="A163" s="37" t="str">
        <f>IF(LEN('xTremeExcel - Kamal Girdher'!H168)&gt;0,'xTremeExcel - Kamal Girdher'!H168&amp; $C$1, "")</f>
        <v/>
      </c>
    </row>
    <row r="164" spans="1:1">
      <c r="A164" s="37" t="str">
        <f>IF(LEN('xTremeExcel - Kamal Girdher'!H169)&gt;0,'xTremeExcel - Kamal Girdher'!H169&amp; $C$1, "")</f>
        <v/>
      </c>
    </row>
    <row r="165" spans="1:1">
      <c r="A165" s="37" t="str">
        <f>IF(LEN('xTremeExcel - Kamal Girdher'!H170)&gt;0,'xTremeExcel - Kamal Girdher'!H170&amp; $C$1, "")</f>
        <v/>
      </c>
    </row>
    <row r="166" spans="1:1">
      <c r="A166" s="37" t="str">
        <f>IF(LEN('xTremeExcel - Kamal Girdher'!H171)&gt;0,'xTremeExcel - Kamal Girdher'!H171&amp; $C$1, "")</f>
        <v/>
      </c>
    </row>
    <row r="167" spans="1:1">
      <c r="A167" s="37" t="str">
        <f>IF(LEN('xTremeExcel - Kamal Girdher'!H172)&gt;0,'xTremeExcel - Kamal Girdher'!H172&amp; $C$1, "")</f>
        <v/>
      </c>
    </row>
    <row r="168" spans="1:1">
      <c r="A168" s="37" t="str">
        <f>IF(LEN('xTremeExcel - Kamal Girdher'!H173)&gt;0,'xTremeExcel - Kamal Girdher'!H173&amp; $C$1, "")</f>
        <v/>
      </c>
    </row>
    <row r="169" spans="1:1">
      <c r="A169" s="37" t="str">
        <f>IF(LEN('xTremeExcel - Kamal Girdher'!H174)&gt;0,'xTremeExcel - Kamal Girdher'!H174&amp; $C$1, "")</f>
        <v/>
      </c>
    </row>
    <row r="170" spans="1:1">
      <c r="A170" s="37" t="str">
        <f>IF(LEN('xTremeExcel - Kamal Girdher'!H175)&gt;0,'xTremeExcel - Kamal Girdher'!H175&amp; $C$1, "")</f>
        <v/>
      </c>
    </row>
    <row r="171" spans="1:1">
      <c r="A171" s="37" t="str">
        <f>IF(LEN('xTremeExcel - Kamal Girdher'!H176)&gt;0,'xTremeExcel - Kamal Girdher'!H176&amp; $C$1, "")</f>
        <v/>
      </c>
    </row>
    <row r="172" spans="1:1">
      <c r="A172" s="37" t="str">
        <f>IF(LEN('xTremeExcel - Kamal Girdher'!H177)&gt;0,'xTremeExcel - Kamal Girdher'!H177&amp; $C$1, "")</f>
        <v/>
      </c>
    </row>
    <row r="173" spans="1:1">
      <c r="A173" s="37" t="str">
        <f>IF(LEN('xTremeExcel - Kamal Girdher'!H178)&gt;0,'xTremeExcel - Kamal Girdher'!H178&amp; $C$1, "")</f>
        <v/>
      </c>
    </row>
    <row r="174" spans="1:1">
      <c r="A174" s="37" t="str">
        <f>IF(LEN('xTremeExcel - Kamal Girdher'!H179)&gt;0,'xTremeExcel - Kamal Girdher'!H179&amp; $C$1, "")</f>
        <v/>
      </c>
    </row>
    <row r="175" spans="1:1">
      <c r="A175" s="37" t="str">
        <f>IF(LEN('xTremeExcel - Kamal Girdher'!H180)&gt;0,'xTremeExcel - Kamal Girdher'!H180&amp; $C$1, "")</f>
        <v/>
      </c>
    </row>
    <row r="176" spans="1:1">
      <c r="A176" s="37" t="str">
        <f>IF(LEN('xTremeExcel - Kamal Girdher'!H181)&gt;0,'xTremeExcel - Kamal Girdher'!H181&amp; $C$1, "")</f>
        <v/>
      </c>
    </row>
    <row r="177" spans="1:1">
      <c r="A177" s="37" t="str">
        <f>IF(LEN('xTremeExcel - Kamal Girdher'!H182)&gt;0,'xTremeExcel - Kamal Girdher'!H182&amp; $C$1, "")</f>
        <v/>
      </c>
    </row>
    <row r="178" spans="1:1">
      <c r="A178" s="37" t="str">
        <f>IF(LEN('xTremeExcel - Kamal Girdher'!H183)&gt;0,'xTremeExcel - Kamal Girdher'!H183&amp; $C$1, "")</f>
        <v/>
      </c>
    </row>
    <row r="179" spans="1:1">
      <c r="A179" s="37" t="str">
        <f>IF(LEN('xTremeExcel - Kamal Girdher'!H184)&gt;0,'xTremeExcel - Kamal Girdher'!H184&amp; $C$1, "")</f>
        <v/>
      </c>
    </row>
    <row r="180" spans="1:1">
      <c r="A180" s="37" t="str">
        <f>IF(LEN('xTremeExcel - Kamal Girdher'!H185)&gt;0,'xTremeExcel - Kamal Girdher'!H185&amp; $C$1, "")</f>
        <v/>
      </c>
    </row>
    <row r="181" spans="1:1">
      <c r="A181" s="37" t="str">
        <f>IF(LEN('xTremeExcel - Kamal Girdher'!H186)&gt;0,'xTremeExcel - Kamal Girdher'!H186&amp; $C$1, "")</f>
        <v/>
      </c>
    </row>
    <row r="182" spans="1:1">
      <c r="A182" s="37" t="str">
        <f>IF(LEN('xTremeExcel - Kamal Girdher'!H187)&gt;0,'xTremeExcel - Kamal Girdher'!H187&amp; $C$1, "")</f>
        <v/>
      </c>
    </row>
    <row r="183" spans="1:1">
      <c r="A183" s="37" t="str">
        <f>IF(LEN('xTremeExcel - Kamal Girdher'!H188)&gt;0,'xTremeExcel - Kamal Girdher'!H188&amp; $C$1, "")</f>
        <v/>
      </c>
    </row>
    <row r="184" spans="1:1">
      <c r="A184" s="37" t="str">
        <f>IF(LEN('xTremeExcel - Kamal Girdher'!H189)&gt;0,'xTremeExcel - Kamal Girdher'!H189&amp; $C$1, "")</f>
        <v/>
      </c>
    </row>
    <row r="185" spans="1:1">
      <c r="A185" s="37" t="str">
        <f>IF(LEN('xTremeExcel - Kamal Girdher'!H190)&gt;0,'xTremeExcel - Kamal Girdher'!H190&amp; $C$1, "")</f>
        <v/>
      </c>
    </row>
    <row r="186" spans="1:1">
      <c r="A186" s="37" t="str">
        <f>IF(LEN('xTremeExcel - Kamal Girdher'!H191)&gt;0,'xTremeExcel - Kamal Girdher'!H191&amp; $C$1, "")</f>
        <v/>
      </c>
    </row>
    <row r="187" spans="1:1">
      <c r="A187" s="37" t="str">
        <f>IF(LEN('xTremeExcel - Kamal Girdher'!H192)&gt;0,'xTremeExcel - Kamal Girdher'!H192&amp; $C$1, "")</f>
        <v/>
      </c>
    </row>
    <row r="188" spans="1:1">
      <c r="A188" s="37" t="str">
        <f>IF(LEN('xTremeExcel - Kamal Girdher'!H193)&gt;0,'xTremeExcel - Kamal Girdher'!H193&amp; $C$1, "")</f>
        <v/>
      </c>
    </row>
    <row r="189" spans="1:1">
      <c r="A189" s="37" t="str">
        <f>IF(LEN('xTremeExcel - Kamal Girdher'!H194)&gt;0,'xTremeExcel - Kamal Girdher'!H194&amp; $C$1, "")</f>
        <v/>
      </c>
    </row>
    <row r="190" spans="1:1">
      <c r="A190" s="37" t="str">
        <f>IF(LEN('xTremeExcel - Kamal Girdher'!H195)&gt;0,'xTremeExcel - Kamal Girdher'!H195&amp; $C$1, "")</f>
        <v/>
      </c>
    </row>
    <row r="191" spans="1:1">
      <c r="A191" s="37" t="str">
        <f>IF(LEN('xTremeExcel - Kamal Girdher'!H196)&gt;0,'xTremeExcel - Kamal Girdher'!H196&amp; $C$1, "")</f>
        <v/>
      </c>
    </row>
    <row r="192" spans="1:1">
      <c r="A192" s="37" t="str">
        <f>IF(LEN('xTremeExcel - Kamal Girdher'!H197)&gt;0,'xTremeExcel - Kamal Girdher'!H197&amp; $C$1, "")</f>
        <v/>
      </c>
    </row>
    <row r="193" spans="1:1">
      <c r="A193" s="37" t="str">
        <f>IF(LEN('xTremeExcel - Kamal Girdher'!H198)&gt;0,'xTremeExcel - Kamal Girdher'!H198&amp; $C$1, "")</f>
        <v/>
      </c>
    </row>
    <row r="194" spans="1:1">
      <c r="A194" s="37" t="str">
        <f>IF(LEN('xTremeExcel - Kamal Girdher'!H199)&gt;0,'xTremeExcel - Kamal Girdher'!H199&amp; $C$1, "")</f>
        <v/>
      </c>
    </row>
    <row r="195" spans="1:1">
      <c r="A195" s="37" t="str">
        <f>IF(LEN('xTremeExcel - Kamal Girdher'!H200)&gt;0,'xTremeExcel - Kamal Girdher'!H200&amp; $C$1, "")</f>
        <v/>
      </c>
    </row>
    <row r="196" spans="1:1">
      <c r="A196" s="37" t="str">
        <f>IF(LEN('xTremeExcel - Kamal Girdher'!H201)&gt;0,'xTremeExcel - Kamal Girdher'!H201&amp; $C$1, "")</f>
        <v/>
      </c>
    </row>
    <row r="197" spans="1:1">
      <c r="A197" s="37" t="str">
        <f>IF(LEN('xTremeExcel - Kamal Girdher'!H202)&gt;0,'xTremeExcel - Kamal Girdher'!H202&amp; $C$1, "")</f>
        <v/>
      </c>
    </row>
    <row r="198" spans="1:1">
      <c r="A198" s="37" t="str">
        <f>IF(LEN('xTremeExcel - Kamal Girdher'!H203)&gt;0,'xTremeExcel - Kamal Girdher'!H203&amp; $C$1, "")</f>
        <v/>
      </c>
    </row>
    <row r="199" spans="1:1">
      <c r="A199" s="37" t="str">
        <f>IF(LEN('xTremeExcel - Kamal Girdher'!H204)&gt;0,'xTremeExcel - Kamal Girdher'!H204&amp; $C$1, "")</f>
        <v/>
      </c>
    </row>
    <row r="200" spans="1:1">
      <c r="A200" s="37" t="str">
        <f>IF(LEN('xTremeExcel - Kamal Girdher'!H205)&gt;0,'xTremeExcel - Kamal Girdher'!H205&amp; $C$1, "")</f>
        <v/>
      </c>
    </row>
  </sheetData>
  <sheetProtection sheet="1" objects="1" scenarios="1" formatCells="0" formatColumns="0" formatRows="0" insertColumns="0" insertRows="0" insertHyperlinks="0" deleteColumns="0" deleteRows="0" sort="0" autoFilter="0" pivotTables="0"/>
  <phoneticPr fontId="13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xTremeExcel - Kamal Girdher</vt:lpstr>
      <vt:lpstr>img_manage</vt:lpstr>
      <vt:lpstr>addr</vt:lpstr>
      <vt:lpstr>addr_2</vt:lpstr>
    </vt:vector>
  </TitlesOfParts>
  <Company>ORANGE 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GIRDHER Kamal SCE/IBNF</dc:creator>
  <cp:lastModifiedBy>Mamun</cp:lastModifiedBy>
  <dcterms:created xsi:type="dcterms:W3CDTF">2016-12-14T03:29:37Z</dcterms:created>
  <dcterms:modified xsi:type="dcterms:W3CDTF">2020-04-27T06:44:18Z</dcterms:modified>
</cp:coreProperties>
</file>