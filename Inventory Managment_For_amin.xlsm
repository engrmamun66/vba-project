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mun\Desktop\"/>
    </mc:Choice>
  </mc:AlternateContent>
  <xr:revisionPtr revIDLastSave="0" documentId="13_ncr:1_{0B50E800-3635-4F0D-A4C1-59DE07717C85}" xr6:coauthVersionLast="45" xr6:coauthVersionMax="45" xr10:uidLastSave="{00000000-0000-0000-0000-000000000000}"/>
  <bookViews>
    <workbookView xWindow="-120" yWindow="-120" windowWidth="20730" windowHeight="11160" xr2:uid="{8C21E047-CBDD-4553-B627-36CDE6FC972B}"/>
  </bookViews>
  <sheets>
    <sheet name="Place_order" sheetId="1" r:id="rId1"/>
    <sheet name="Customers" sheetId="2" r:id="rId2"/>
    <sheet name="Products" sheetId="3" r:id="rId3"/>
    <sheet name="Orders" sheetId="4" r:id="rId4"/>
    <sheet name="Controller" sheetId="5" r:id="rId5"/>
  </sheets>
  <definedNames>
    <definedName name="_xlnm._FilterDatabase" localSheetId="0" hidden="1">Place_order!$B$11:$R$28</definedName>
    <definedName name="found_in">Controller!$F$4</definedName>
    <definedName name="ok">Controller!$F$1</definedName>
    <definedName name="qqq">Controller!$E$12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M4" i="1" l="1"/>
  <c r="B14" i="5" l="1"/>
  <c r="B18" i="5" l="1"/>
  <c r="B20" i="5"/>
  <c r="B19" i="5"/>
  <c r="B21" i="5" l="1"/>
  <c r="B22" i="5"/>
  <c r="M8" i="1" l="1"/>
  <c r="M7" i="1"/>
  <c r="M6" i="1"/>
  <c r="M5" i="1"/>
  <c r="M34" i="1" l="1"/>
  <c r="M35" i="1"/>
  <c r="M36" i="1"/>
  <c r="B12" i="5"/>
  <c r="B31" i="1" s="1"/>
  <c r="C4" i="5" l="1"/>
  <c r="G7" i="5" s="1"/>
  <c r="G8" i="5" s="1"/>
  <c r="P31" i="1" l="1"/>
  <c r="C3" i="5" l="1"/>
  <c r="D3" i="5" s="1"/>
  <c r="B11" i="5"/>
  <c r="B9" i="5"/>
  <c r="C7" i="5"/>
  <c r="D7" i="5" s="1"/>
  <c r="E7" i="5" s="1"/>
  <c r="B7" i="5" s="1"/>
  <c r="C6" i="5"/>
  <c r="D6" i="5" s="1"/>
  <c r="E6" i="5" s="1"/>
  <c r="B6" i="5" s="1"/>
  <c r="C5" i="5"/>
  <c r="D5" i="5" s="1"/>
  <c r="E5" i="5" s="1"/>
  <c r="B5" i="5" s="1"/>
  <c r="D4" i="5"/>
  <c r="E4" i="5" s="1"/>
  <c r="B4" i="5" s="1"/>
  <c r="K35" i="1"/>
  <c r="K31" i="1"/>
  <c r="M33" i="1"/>
  <c r="G9" i="5" l="1"/>
  <c r="B3" i="5"/>
  <c r="Q31" i="1"/>
  <c r="P36" i="1"/>
  <c r="K36" i="1"/>
  <c r="K34" i="1"/>
  <c r="K33" i="1"/>
  <c r="R28" i="1"/>
  <c r="K28" i="1"/>
  <c r="K27" i="1"/>
  <c r="R26" i="1"/>
  <c r="K26" i="1"/>
  <c r="K25" i="1"/>
  <c r="Q24" i="1"/>
  <c r="P24" i="1"/>
  <c r="O24" i="1"/>
  <c r="N24" i="1"/>
  <c r="M24" i="1"/>
  <c r="L24" i="1"/>
  <c r="K24" i="1"/>
  <c r="R24" i="1"/>
  <c r="Q23" i="1"/>
  <c r="P23" i="1"/>
  <c r="O23" i="1"/>
  <c r="N23" i="1"/>
  <c r="M23" i="1"/>
  <c r="L23" i="1"/>
  <c r="K23" i="1"/>
  <c r="R23" i="1"/>
  <c r="Q22" i="1"/>
  <c r="P22" i="1"/>
  <c r="O22" i="1"/>
  <c r="N22" i="1"/>
  <c r="M22" i="1"/>
  <c r="L22" i="1"/>
  <c r="K22" i="1"/>
  <c r="R22" i="1"/>
  <c r="Q21" i="1"/>
  <c r="P21" i="1"/>
  <c r="O21" i="1"/>
  <c r="N21" i="1"/>
  <c r="M21" i="1"/>
  <c r="L21" i="1"/>
  <c r="K21" i="1"/>
  <c r="R21" i="1"/>
  <c r="Q20" i="1"/>
  <c r="P20" i="1"/>
  <c r="O20" i="1"/>
  <c r="N20" i="1"/>
  <c r="M20" i="1"/>
  <c r="L20" i="1"/>
  <c r="K20" i="1"/>
  <c r="R20" i="1"/>
  <c r="Q19" i="1"/>
  <c r="P19" i="1"/>
  <c r="O19" i="1"/>
  <c r="N19" i="1"/>
  <c r="M19" i="1"/>
  <c r="L19" i="1"/>
  <c r="K19" i="1"/>
  <c r="R19" i="1"/>
  <c r="Q18" i="1"/>
  <c r="P18" i="1"/>
  <c r="O18" i="1"/>
  <c r="N18" i="1"/>
  <c r="M18" i="1"/>
  <c r="L18" i="1"/>
  <c r="K18" i="1"/>
  <c r="R18" i="1"/>
  <c r="Q17" i="1"/>
  <c r="P17" i="1"/>
  <c r="O17" i="1"/>
  <c r="N17" i="1"/>
  <c r="M17" i="1"/>
  <c r="L17" i="1"/>
  <c r="K17" i="1"/>
  <c r="R17" i="1"/>
  <c r="Q16" i="1"/>
  <c r="P16" i="1"/>
  <c r="O16" i="1"/>
  <c r="N16" i="1"/>
  <c r="M16" i="1"/>
  <c r="L16" i="1"/>
  <c r="K16" i="1"/>
  <c r="R16" i="1"/>
  <c r="Q15" i="1"/>
  <c r="P15" i="1"/>
  <c r="O15" i="1"/>
  <c r="N15" i="1"/>
  <c r="M15" i="1"/>
  <c r="L15" i="1"/>
  <c r="K15" i="1"/>
  <c r="R15" i="1"/>
  <c r="Q14" i="1"/>
  <c r="P14" i="1"/>
  <c r="O14" i="1"/>
  <c r="N14" i="1"/>
  <c r="M14" i="1"/>
  <c r="L14" i="1"/>
  <c r="K14" i="1"/>
  <c r="R14" i="1"/>
  <c r="Q13" i="1"/>
  <c r="P13" i="1"/>
  <c r="O13" i="1"/>
  <c r="M13" i="1"/>
  <c r="L13" i="1"/>
  <c r="K13" i="1"/>
  <c r="R13" i="1"/>
  <c r="Q12" i="1"/>
  <c r="P12" i="1"/>
  <c r="O12" i="1"/>
  <c r="N12" i="1"/>
  <c r="M12" i="1"/>
  <c r="L12" i="1"/>
  <c r="K12" i="1"/>
  <c r="R12" i="1"/>
  <c r="R11" i="1"/>
  <c r="Q11" i="1"/>
  <c r="P11" i="1"/>
  <c r="O11" i="1"/>
  <c r="N11" i="1"/>
  <c r="M11" i="1"/>
  <c r="L11" i="1"/>
  <c r="K11" i="1"/>
  <c r="P8" i="1"/>
  <c r="L8" i="1"/>
  <c r="K8" i="1"/>
  <c r="P7" i="1"/>
  <c r="L7" i="1"/>
  <c r="K7" i="1"/>
  <c r="P6" i="1"/>
  <c r="L6" i="1"/>
  <c r="K6" i="1"/>
  <c r="P5" i="1"/>
  <c r="L5" i="1"/>
  <c r="K5" i="1"/>
  <c r="P4" i="1"/>
  <c r="K4" i="1"/>
  <c r="R1" i="1"/>
  <c r="Q1" i="1"/>
  <c r="P1" i="1"/>
  <c r="O1" i="1"/>
  <c r="N1" i="1"/>
  <c r="M1" i="1"/>
  <c r="L1" i="1"/>
  <c r="B8" i="5" l="1"/>
  <c r="R25" i="1" l="1"/>
  <c r="R27" i="1" l="1"/>
  <c r="B1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Mamun</author>
  </authors>
  <commentList>
    <comment ref="E12" authorId="0" shapeId="0" xr:uid="{5B7CD495-5F3C-4DBA-A8F8-DEF82DB7BDE0}">
      <text>
        <r>
          <rPr>
            <b/>
            <sz val="9"/>
            <color indexed="81"/>
            <rFont val="Tahoma"/>
            <family val="2"/>
          </rPr>
          <t>Mamun:</t>
        </r>
        <r>
          <rPr>
            <sz val="9"/>
            <color indexed="81"/>
            <rFont val="Tahoma"/>
            <family val="2"/>
          </rPr>
          <t xml:space="preserve">
match with this cell
Name: qqq</t>
        </r>
      </text>
    </comment>
    <comment ref="B18" authorId="0" shapeId="0" xr:uid="{5EC4E664-DF90-48D4-A79A-747E69D892DA}">
      <text>
        <r>
          <rPr>
            <b/>
            <sz val="9"/>
            <color indexed="81"/>
            <rFont val="Tahoma"/>
            <family val="2"/>
          </rPr>
          <t>Mamun:</t>
        </r>
        <r>
          <rPr>
            <sz val="9"/>
            <color indexed="81"/>
            <rFont val="Tahoma"/>
            <family val="2"/>
          </rPr>
          <t xml:space="preserve">
=IFERROR(VLOOKUP(Place_order!D4,Customers!$A:$A,1,0),0)</t>
        </r>
      </text>
    </comment>
  </commentList>
</comments>
</file>

<file path=xl/sharedStrings.xml><?xml version="1.0" encoding="utf-8"?>
<sst xmlns="http://schemas.openxmlformats.org/spreadsheetml/2006/main" count="130" uniqueCount="96">
  <si>
    <t>Contact US:</t>
  </si>
  <si>
    <t>Name</t>
  </si>
  <si>
    <t>:</t>
  </si>
  <si>
    <t>G: info.bonorupashop@gmail.com</t>
  </si>
  <si>
    <t>Address</t>
  </si>
  <si>
    <t>Mobile: 01827470063</t>
  </si>
  <si>
    <t>fb/bonorupashop</t>
  </si>
  <si>
    <t>Phone</t>
  </si>
  <si>
    <t>Mohammadpur, Dhaka-1207</t>
  </si>
  <si>
    <t>Sl. No.</t>
  </si>
  <si>
    <t>Qty</t>
  </si>
  <si>
    <t>Rate</t>
  </si>
  <si>
    <t>Amount</t>
  </si>
  <si>
    <t>Cash</t>
  </si>
  <si>
    <t>Bkash</t>
  </si>
  <si>
    <t>Roket</t>
  </si>
  <si>
    <t>DBBL bank</t>
  </si>
  <si>
    <t>Signature of Authority</t>
  </si>
  <si>
    <t>products</t>
  </si>
  <si>
    <t>qty</t>
  </si>
  <si>
    <t>rate</t>
  </si>
  <si>
    <t>amount</t>
  </si>
  <si>
    <t>total_amount</t>
  </si>
  <si>
    <t>total_payment</t>
  </si>
  <si>
    <t>due</t>
  </si>
  <si>
    <t>now_pay</t>
  </si>
  <si>
    <t>payment_method</t>
  </si>
  <si>
    <t>Step.1</t>
  </si>
  <si>
    <t>Step.2</t>
  </si>
  <si>
    <t>Step.3</t>
  </si>
  <si>
    <t xml:space="preserve"> </t>
  </si>
  <si>
    <t>FINAL</t>
  </si>
  <si>
    <t>Created_date</t>
  </si>
  <si>
    <t>Order_id</t>
  </si>
  <si>
    <t>NEW ORDER</t>
  </si>
  <si>
    <t>created_date</t>
  </si>
  <si>
    <t>now_payable</t>
  </si>
  <si>
    <t>2,2,2,2,2,2,2,2,2,2,2,2,2</t>
  </si>
  <si>
    <t>10,10,10,10,10,10,10,10,10,10,10,10,10</t>
  </si>
  <si>
    <t>20,20,20,20,20,20,20,20,20,20,20,20,20</t>
  </si>
  <si>
    <t>id</t>
  </si>
  <si>
    <t>Product Name</t>
  </si>
  <si>
    <t>PCS In One PKT</t>
  </si>
  <si>
    <t>Price For Full PKT</t>
  </si>
  <si>
    <t>Price For One PCS</t>
  </si>
  <si>
    <t>Description</t>
  </si>
  <si>
    <t>Category</t>
  </si>
  <si>
    <t>Color</t>
  </si>
  <si>
    <t>Size</t>
  </si>
  <si>
    <t>Order No:</t>
  </si>
  <si>
    <t>✅</t>
  </si>
  <si>
    <t>Any product?</t>
  </si>
  <si>
    <t>After substitue</t>
  </si>
  <si>
    <t>found_in ROW</t>
  </si>
  <si>
    <t>Order ID</t>
  </si>
  <si>
    <t>Total Amount :</t>
  </si>
  <si>
    <t>Total Payment :</t>
  </si>
  <si>
    <t>Due :</t>
  </si>
  <si>
    <t>Now payable Tk :</t>
  </si>
  <si>
    <t>Max ROW</t>
  </si>
  <si>
    <t>Ask</t>
  </si>
  <si>
    <t>Image</t>
  </si>
  <si>
    <t>Email</t>
  </si>
  <si>
    <t>ID</t>
  </si>
  <si>
    <t>If Found</t>
  </si>
  <si>
    <t>Found in row</t>
  </si>
  <si>
    <t>Mamun</t>
  </si>
  <si>
    <t>by id</t>
  </si>
  <si>
    <t>by phone</t>
  </si>
  <si>
    <t>by email</t>
  </si>
  <si>
    <t>_is entry this customer</t>
  </si>
  <si>
    <t>Count A</t>
  </si>
  <si>
    <t>Mathed by</t>
  </si>
  <si>
    <t>customer ID</t>
  </si>
  <si>
    <t>Customer_ID</t>
  </si>
  <si>
    <t>Abdullah</t>
  </si>
  <si>
    <t>Gulshan</t>
  </si>
  <si>
    <t>abdullah@gmail.com</t>
  </si>
  <si>
    <t>mamun@gmail.com</t>
  </si>
  <si>
    <t>1234</t>
  </si>
  <si>
    <t>1212</t>
  </si>
  <si>
    <t>Product-sample,Product-sample,Product-sample,Product-sample,Product-sample,Product-sample,Product-sample,Product-sample,Product-sample,Product-sample,Product-sample,Product-sample,Product-sample</t>
  </si>
  <si>
    <t>C</t>
  </si>
  <si>
    <t>2020/Nov/24  6:41 PM
2020/Nov/24  9:12 PM</t>
  </si>
  <si>
    <t>Kamrul</t>
  </si>
  <si>
    <t>kamrul@gmail.com</t>
  </si>
  <si>
    <t>01915259460</t>
  </si>
  <si>
    <t>-</t>
  </si>
  <si>
    <t>Produc - -- -asdfasdf,,,</t>
  </si>
  <si>
    <t>1,,,</t>
  </si>
  <si>
    <t>22,,,</t>
  </si>
  <si>
    <t>B</t>
  </si>
  <si>
    <t>CUSTOMER ID</t>
  </si>
  <si>
    <t>2020/Nov/24  9:15 PM
2020/Nov/25  2:43 PM</t>
  </si>
  <si>
    <t>Khulna</t>
  </si>
  <si>
    <t>Saving found customer id, it will not to be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</si>
</sst>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m/dd\ \ h:mm:ss\ AM/PM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1"/>
      <color theme="1"/>
      <name val="Raleway"/>
      <family val="2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1" tint="0.14999847407452621"/>
      </left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/>
      <right/>
      <top style="thin">
        <color theme="1" tint="0.14999847407452621"/>
      </top>
      <bottom style="thin">
        <color theme="1" tint="0.149998474074526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14999847407452621"/>
      </left>
      <right/>
      <top style="thin">
        <color theme="1" tint="0.14999847407452621"/>
      </top>
      <bottom style="thin">
        <color theme="1" tint="0.14999847407452621"/>
      </bottom>
      <diagonal/>
    </border>
    <border>
      <left/>
      <right style="thin">
        <color theme="1" tint="0.14999847407452621"/>
      </right>
      <top style="thin">
        <color theme="1" tint="0.14999847407452621"/>
      </top>
      <bottom style="thin">
        <color theme="1" tint="0.14999847407452621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0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1" applyFont="1" applyAlignmen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applyBorder="1"/>
    <xf numFmtId="0" fontId="0" fillId="3" borderId="0" xfId="0" applyFill="1"/>
    <xf numFmtId="0" fontId="0" fillId="0" borderId="0" xfId="0" applyAlignment="1">
      <alignment horizontal="left" indent="1"/>
    </xf>
    <xf numFmtId="0" fontId="0" fillId="2" borderId="5" xfId="0" applyFill="1" applyBorder="1" applyAlignment="1">
      <alignment horizontal="left" indent="1"/>
    </xf>
    <xf numFmtId="0" fontId="0" fillId="2" borderId="0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6" xfId="0" applyBorder="1"/>
    <xf numFmtId="0" fontId="0" fillId="0" borderId="0" xfId="0" applyBorder="1" applyAlignment="1">
      <alignment wrapText="1"/>
    </xf>
    <xf numFmtId="2" fontId="0" fillId="0" borderId="0" xfId="0" applyNumberFormat="1" applyBorder="1"/>
    <xf numFmtId="0" fontId="0" fillId="4" borderId="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4" fontId="0" fillId="0" borderId="7" xfId="0" applyNumberFormat="1" applyBorder="1"/>
    <xf numFmtId="164" fontId="0" fillId="0" borderId="7" xfId="0" applyNumberFormat="1" applyBorder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8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9" xfId="0" applyBorder="1" applyAlignment="1">
      <alignment horizontal="center"/>
    </xf>
    <xf numFmtId="2" fontId="0" fillId="0" borderId="9" xfId="0" applyNumberFormat="1" applyBorder="1" applyAlignment="1">
      <alignment horizontal="right"/>
    </xf>
    <xf numFmtId="2" fontId="1" fillId="0" borderId="9" xfId="0" applyNumberFormat="1" applyFont="1" applyBorder="1" applyAlignment="1">
      <alignment horizontal="right"/>
    </xf>
    <xf numFmtId="0" fontId="7" fillId="3" borderId="9" xfId="0" applyFont="1" applyFill="1" applyBorder="1" applyAlignment="1">
      <alignment horizontal="center" vertical="center"/>
    </xf>
    <xf numFmtId="0" fontId="0" fillId="0" borderId="10" xfId="0" applyBorder="1"/>
    <xf numFmtId="4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4" fontId="0" fillId="0" borderId="7" xfId="0" applyNumberFormat="1" applyBorder="1" applyAlignment="1">
      <alignment wrapText="1"/>
    </xf>
    <xf numFmtId="0" fontId="13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left" indent="1"/>
    </xf>
    <xf numFmtId="1" fontId="0" fillId="0" borderId="0" xfId="0" applyNumberFormat="1"/>
    <xf numFmtId="2" fontId="17" fillId="0" borderId="9" xfId="0" applyNumberFormat="1" applyFont="1" applyBorder="1" applyAlignment="1">
      <alignment horizontal="right"/>
    </xf>
    <xf numFmtId="0" fontId="0" fillId="0" borderId="9" xfId="0" applyBorder="1" applyAlignment="1">
      <alignment horizontal="right"/>
    </xf>
    <xf numFmtId="0" fontId="18" fillId="0" borderId="0" xfId="0" applyFont="1" applyBorder="1" applyAlignment="1">
      <alignment vertical="top"/>
    </xf>
    <xf numFmtId="0" fontId="0" fillId="0" borderId="0" xfId="0" applyAlignment="1">
      <alignment horizontal="center" vertical="center" wrapText="1"/>
    </xf>
    <xf numFmtId="0" fontId="9" fillId="0" borderId="14" xfId="0" applyFont="1" applyBorder="1" applyAlignment="1">
      <alignment horizontal="left"/>
    </xf>
    <xf numFmtId="0" fontId="0" fillId="0" borderId="14" xfId="0" applyBorder="1" applyAlignment="1">
      <alignment horizontal="left"/>
    </xf>
    <xf numFmtId="0" fontId="14" fillId="0" borderId="14" xfId="0" applyFont="1" applyBorder="1" applyAlignment="1">
      <alignment horizontal="left"/>
    </xf>
    <xf numFmtId="0" fontId="9" fillId="0" borderId="15" xfId="0" applyFont="1" applyBorder="1"/>
    <xf numFmtId="0" fontId="0" fillId="0" borderId="15" xfId="0" applyBorder="1"/>
    <xf numFmtId="0" fontId="14" fillId="0" borderId="15" xfId="0" applyFont="1" applyBorder="1" applyAlignment="1">
      <alignment horizontal="left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49" fontId="2" fillId="0" borderId="0" xfId="1" applyNumberFormat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horizontal="left" indent="1"/>
    </xf>
    <xf numFmtId="0" fontId="0" fillId="0" borderId="17" xfId="0" applyBorder="1" applyAlignment="1">
      <alignment horizontal="left"/>
    </xf>
    <xf numFmtId="0" fontId="0" fillId="0" borderId="5" xfId="0" applyBorder="1" applyAlignment="1">
      <alignment horizontal="left" indent="1"/>
    </xf>
    <xf numFmtId="0" fontId="0" fillId="0" borderId="6" xfId="0" applyBorder="1" applyAlignment="1">
      <alignment horizontal="left"/>
    </xf>
    <xf numFmtId="0" fontId="0" fillId="0" borderId="18" xfId="0" applyBorder="1" applyAlignment="1">
      <alignment horizontal="left" indent="1"/>
    </xf>
    <xf numFmtId="0" fontId="0" fillId="0" borderId="19" xfId="0" applyBorder="1" applyAlignment="1">
      <alignment horizontal="left"/>
    </xf>
    <xf numFmtId="0" fontId="0" fillId="4" borderId="0" xfId="0" applyFill="1"/>
    <xf numFmtId="1" fontId="0" fillId="0" borderId="0" xfId="0" applyNumberFormat="1" applyBorder="1"/>
    <xf numFmtId="2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left" wrapText="1" indent="1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9" xfId="0" applyBorder="1" applyAlignment="1">
      <alignment horizontal="left" indent="1"/>
    </xf>
    <xf numFmtId="0" fontId="0" fillId="0" borderId="9" xfId="0" applyBorder="1" applyAlignment="1">
      <alignment horizontal="right"/>
    </xf>
    <xf numFmtId="0" fontId="19" fillId="0" borderId="0" xfId="0" applyFont="1" applyFill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9" fillId="0" borderId="0" xfId="0" applyFont="1" applyAlignment="1">
      <alignment horizontal="center" vertical="top"/>
    </xf>
    <xf numFmtId="0" fontId="8" fillId="0" borderId="0" xfId="0" applyFont="1" applyAlignment="1">
      <alignment horizontal="left" vertical="top"/>
    </xf>
    <xf numFmtId="0" fontId="16" fillId="0" borderId="9" xfId="0" applyFont="1" applyBorder="1" applyAlignment="1">
      <alignment horizontal="right"/>
    </xf>
    <xf numFmtId="0" fontId="1" fillId="0" borderId="12" xfId="0" applyFont="1" applyBorder="1" applyAlignment="1">
      <alignment horizontal="right"/>
    </xf>
    <xf numFmtId="0" fontId="1" fillId="0" borderId="10" xfId="0" applyFont="1" applyBorder="1" applyAlignment="1">
      <alignment horizontal="right"/>
    </xf>
    <xf numFmtId="0" fontId="1" fillId="0" borderId="13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5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left"/>
    </xf>
    <xf numFmtId="0" fontId="2" fillId="0" borderId="0" xfId="1" applyBorder="1" applyAlignment="1">
      <alignment horizontal="left" vertical="center"/>
    </xf>
    <xf numFmtId="0" fontId="6" fillId="0" borderId="0" xfId="1" applyFont="1" applyAlignment="1">
      <alignment horizontal="left"/>
    </xf>
    <xf numFmtId="0" fontId="7" fillId="3" borderId="9" xfId="0" applyFont="1" applyFill="1" applyBorder="1" applyAlignment="1">
      <alignment horizontal="center" vertical="center"/>
    </xf>
    <xf numFmtId="49" fontId="5" fillId="0" borderId="0" xfId="0" applyNumberFormat="1" applyFont="1" applyBorder="1" applyAlignment="1">
      <alignment horizontal="left" vertical="center"/>
    </xf>
    <xf numFmtId="0" fontId="13" fillId="5" borderId="2" xfId="0" applyFont="1" applyFill="1" applyBorder="1" applyAlignment="1">
      <alignment horizontal="center" vertical="center"/>
    </xf>
    <xf numFmtId="0" fontId="13" fillId="5" borderId="3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3">
    <dxf>
      <fill>
        <patternFill>
          <bgColor theme="5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invensis.net/blog/data-processing/5-advantages-of-data-cleansing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508000</xdr:colOff>
      <xdr:row>1</xdr:row>
      <xdr:rowOff>50800</xdr:rowOff>
    </xdr:from>
    <xdr:to>
      <xdr:col>5</xdr:col>
      <xdr:colOff>201295</xdr:colOff>
      <xdr:row>2</xdr:row>
      <xdr:rowOff>98426</xdr:rowOff>
    </xdr:to>
    <xdr:sp macro="[0]!final_add_customer" textlink="">
      <xdr:nvSpPr>
        <xdr:cNvPr id="10" name="add_cust" hidden="1">
          <a:extLst>
            <a:ext uri="{FF2B5EF4-FFF2-40B4-BE49-F238E27FC236}">
              <a16:creationId xmlns:a16="http://schemas.microsoft.com/office/drawing/2014/main" id="{2383FA39-9E59-42A6-A102-FE477708B2A0}"/>
            </a:ext>
          </a:extLst>
        </xdr:cNvPr>
        <xdr:cNvSpPr/>
      </xdr:nvSpPr>
      <xdr:spPr>
        <a:xfrm>
          <a:off x="1365250" y="241300"/>
          <a:ext cx="1122045" cy="238126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</a:rPr>
            <a:t>Add  Customer</a:t>
          </a:r>
        </a:p>
      </xdr:txBody>
    </xdr:sp>
    <xdr:clientData/>
  </xdr:twoCellAnchor>
  <xdr:twoCellAnchor editAs="oneCell">
    <xdr:from>
      <xdr:col>5</xdr:col>
      <xdr:colOff>215900</xdr:colOff>
      <xdr:row>1</xdr:row>
      <xdr:rowOff>25400</xdr:rowOff>
    </xdr:from>
    <xdr:to>
      <xdr:col>5</xdr:col>
      <xdr:colOff>598779</xdr:colOff>
      <xdr:row>2</xdr:row>
      <xdr:rowOff>111125</xdr:rowOff>
    </xdr:to>
    <xdr:pic macro="[0]!clear_customer_details">
      <xdr:nvPicPr>
        <xdr:cNvPr id="7" name="del_icon" hidden="1">
          <a:extLst>
            <a:ext uri="{FF2B5EF4-FFF2-40B4-BE49-F238E27FC236}">
              <a16:creationId xmlns:a16="http://schemas.microsoft.com/office/drawing/2014/main" id="{F9D96490-7BA9-4A17-962A-D75FE42FF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2501900" y="215900"/>
          <a:ext cx="382879" cy="276225"/>
        </a:xfrm>
        <a:prstGeom prst="rect">
          <a:avLst/>
        </a:prstGeom>
      </xdr:spPr>
    </xdr:pic>
    <xdr:clientData/>
  </xdr:twoCellAnchor>
  <xdr:twoCellAnchor>
    <xdr:from>
      <xdr:col>3</xdr:col>
      <xdr:colOff>457200</xdr:colOff>
      <xdr:row>33</xdr:row>
      <xdr:rowOff>0</xdr:rowOff>
    </xdr:from>
    <xdr:to>
      <xdr:col>3</xdr:col>
      <xdr:colOff>640080</xdr:colOff>
      <xdr:row>34</xdr:row>
      <xdr:rowOff>3175</xdr:rowOff>
    </xdr:to>
    <xdr:sp macro="[0]!set_paymentMethod" textlink="">
      <xdr:nvSpPr>
        <xdr:cNvPr id="2" name="btn_set" hidden="1">
          <a:extLst>
            <a:ext uri="{FF2B5EF4-FFF2-40B4-BE49-F238E27FC236}">
              <a16:creationId xmlns:a16="http://schemas.microsoft.com/office/drawing/2014/main" id="{9BF5711F-4365-4C6C-B87A-D34C6499AA9E}"/>
            </a:ext>
          </a:extLst>
        </xdr:cNvPr>
        <xdr:cNvSpPr/>
      </xdr:nvSpPr>
      <xdr:spPr>
        <a:xfrm>
          <a:off x="1314450" y="5629275"/>
          <a:ext cx="182880" cy="165100"/>
        </a:xfrm>
        <a:prstGeom prst="rect">
          <a:avLst/>
        </a:prstGeom>
        <a:solidFill>
          <a:schemeClr val="tx1"/>
        </a:solidFill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solidFill>
                <a:schemeClr val="bg1"/>
              </a:solidFill>
            </a:rPr>
            <a:t>+</a:t>
          </a:r>
        </a:p>
      </xdr:txBody>
    </xdr:sp>
    <xdr:clientData/>
  </xdr:twoCellAnchor>
  <xdr:twoCellAnchor>
    <xdr:from>
      <xdr:col>3</xdr:col>
      <xdr:colOff>647700</xdr:colOff>
      <xdr:row>33</xdr:row>
      <xdr:rowOff>0</xdr:rowOff>
    </xdr:from>
    <xdr:to>
      <xdr:col>4</xdr:col>
      <xdr:colOff>1905</xdr:colOff>
      <xdr:row>34</xdr:row>
      <xdr:rowOff>3175</xdr:rowOff>
    </xdr:to>
    <xdr:sp macro="[0]!del_paymentMethod" textlink="">
      <xdr:nvSpPr>
        <xdr:cNvPr id="3" name="btn_del" hidden="1">
          <a:extLst>
            <a:ext uri="{FF2B5EF4-FFF2-40B4-BE49-F238E27FC236}">
              <a16:creationId xmlns:a16="http://schemas.microsoft.com/office/drawing/2014/main" id="{1A075126-4382-4D5C-AC86-072895A623AF}"/>
            </a:ext>
          </a:extLst>
        </xdr:cNvPr>
        <xdr:cNvSpPr/>
      </xdr:nvSpPr>
      <xdr:spPr>
        <a:xfrm>
          <a:off x="1504950" y="5629275"/>
          <a:ext cx="182880" cy="165100"/>
        </a:xfrm>
        <a:prstGeom prst="rect">
          <a:avLst/>
        </a:prstGeom>
        <a:solidFill>
          <a:srgbClr val="FF0000"/>
        </a:solidFill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-</a:t>
          </a:r>
        </a:p>
      </xdr:txBody>
    </xdr:sp>
    <xdr:clientData/>
  </xdr:twoCellAnchor>
  <xdr:twoCellAnchor>
    <xdr:from>
      <xdr:col>8</xdr:col>
      <xdr:colOff>0</xdr:colOff>
      <xdr:row>30</xdr:row>
      <xdr:rowOff>0</xdr:rowOff>
    </xdr:from>
    <xdr:to>
      <xdr:col>8</xdr:col>
      <xdr:colOff>371475</xdr:colOff>
      <xdr:row>32</xdr:row>
      <xdr:rowOff>0</xdr:rowOff>
    </xdr:to>
    <xdr:grpSp>
      <xdr:nvGrpSpPr>
        <xdr:cNvPr id="14" name="view">
          <a:extLst>
            <a:ext uri="{FF2B5EF4-FFF2-40B4-BE49-F238E27FC236}">
              <a16:creationId xmlns:a16="http://schemas.microsoft.com/office/drawing/2014/main" id="{02E6676D-9C57-4646-B4F2-977EF5120D93}"/>
            </a:ext>
          </a:extLst>
        </xdr:cNvPr>
        <xdr:cNvGrpSpPr/>
      </xdr:nvGrpSpPr>
      <xdr:grpSpPr>
        <a:xfrm>
          <a:off x="4067175" y="5219700"/>
          <a:ext cx="371475" cy="247650"/>
          <a:chOff x="4400549" y="5219700"/>
          <a:chExt cx="390525" cy="247650"/>
        </a:xfrm>
      </xdr:grpSpPr>
      <xdr:sp macro="[0]!window_view_control" textlink="">
        <xdr:nvSpPr>
          <xdr:cNvPr id="9" name="dfdf">
            <a:extLst>
              <a:ext uri="{FF2B5EF4-FFF2-40B4-BE49-F238E27FC236}">
                <a16:creationId xmlns:a16="http://schemas.microsoft.com/office/drawing/2014/main" id="{DF99B688-1EC8-42E5-8FA7-BDA5689F6DD7}"/>
              </a:ext>
            </a:extLst>
          </xdr:cNvPr>
          <xdr:cNvSpPr/>
        </xdr:nvSpPr>
        <xdr:spPr>
          <a:xfrm>
            <a:off x="4400549" y="5219700"/>
            <a:ext cx="390525" cy="247650"/>
          </a:xfrm>
          <a:prstGeom prst="rect">
            <a:avLst/>
          </a:prstGeom>
          <a:ln>
            <a:solidFill>
              <a:schemeClr val="bg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/>
          </a:p>
        </xdr:txBody>
      </xdr:sp>
      <xdr:pic macro="[0]!window_view_control">
        <xdr:nvPicPr>
          <xdr:cNvPr id="13" name="Picture 12">
            <a:extLst>
              <a:ext uri="{FF2B5EF4-FFF2-40B4-BE49-F238E27FC236}">
                <a16:creationId xmlns:a16="http://schemas.microsoft.com/office/drawing/2014/main" id="{D0870486-A34C-4EC5-9494-6D794AE542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4487251" y="5286375"/>
            <a:ext cx="240323" cy="12189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381000</xdr:colOff>
      <xdr:row>29</xdr:row>
      <xdr:rowOff>73025</xdr:rowOff>
    </xdr:from>
    <xdr:to>
      <xdr:col>8</xdr:col>
      <xdr:colOff>704850</xdr:colOff>
      <xdr:row>31</xdr:row>
      <xdr:rowOff>158750</xdr:rowOff>
    </xdr:to>
    <xdr:grpSp>
      <xdr:nvGrpSpPr>
        <xdr:cNvPr id="22" name="clear">
          <a:extLst>
            <a:ext uri="{FF2B5EF4-FFF2-40B4-BE49-F238E27FC236}">
              <a16:creationId xmlns:a16="http://schemas.microsoft.com/office/drawing/2014/main" id="{2064DC93-11B8-41AC-93B0-753E46A63E51}"/>
            </a:ext>
          </a:extLst>
        </xdr:cNvPr>
        <xdr:cNvGrpSpPr/>
      </xdr:nvGrpSpPr>
      <xdr:grpSpPr>
        <a:xfrm>
          <a:off x="4448175" y="5207000"/>
          <a:ext cx="323850" cy="257175"/>
          <a:chOff x="4410076" y="5210175"/>
          <a:chExt cx="361950" cy="257175"/>
        </a:xfrm>
      </xdr:grpSpPr>
      <xdr:sp macro="[0]!clear_memo_now" textlink="">
        <xdr:nvSpPr>
          <xdr:cNvPr id="16" name="dfdf">
            <a:extLst>
              <a:ext uri="{FF2B5EF4-FFF2-40B4-BE49-F238E27FC236}">
                <a16:creationId xmlns:a16="http://schemas.microsoft.com/office/drawing/2014/main" id="{C1A3EDAE-0D90-4C6C-9F77-651D870CDEF6}"/>
              </a:ext>
            </a:extLst>
          </xdr:cNvPr>
          <xdr:cNvSpPr/>
        </xdr:nvSpPr>
        <xdr:spPr>
          <a:xfrm>
            <a:off x="4410076" y="5219700"/>
            <a:ext cx="361950" cy="247650"/>
          </a:xfrm>
          <a:prstGeom prst="rect">
            <a:avLst/>
          </a:prstGeom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/>
          </a:p>
        </xdr:txBody>
      </xdr:sp>
      <xdr:pic macro="[0]!clear_memo_now">
        <xdr:nvPicPr>
          <xdr:cNvPr id="21" name="Picture 20">
            <a:extLst>
              <a:ext uri="{FF2B5EF4-FFF2-40B4-BE49-F238E27FC236}">
                <a16:creationId xmlns:a16="http://schemas.microsoft.com/office/drawing/2014/main" id="{71B4077D-60F9-4E56-B00A-984DD947AB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05325" y="5210175"/>
            <a:ext cx="219075" cy="219075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508000</xdr:colOff>
      <xdr:row>1</xdr:row>
      <xdr:rowOff>50800</xdr:rowOff>
    </xdr:from>
    <xdr:to>
      <xdr:col>5</xdr:col>
      <xdr:colOff>247650</xdr:colOff>
      <xdr:row>2</xdr:row>
      <xdr:rowOff>98426</xdr:rowOff>
    </xdr:to>
    <xdr:sp macro="[0]!fill_data" textlink="">
      <xdr:nvSpPr>
        <xdr:cNvPr id="19" name="fill_data" hidden="1">
          <a:extLst>
            <a:ext uri="{FF2B5EF4-FFF2-40B4-BE49-F238E27FC236}">
              <a16:creationId xmlns:a16="http://schemas.microsoft.com/office/drawing/2014/main" id="{FBC2DE7E-F60D-428E-9013-9704C1B8D4E2}"/>
            </a:ext>
          </a:extLst>
        </xdr:cNvPr>
        <xdr:cNvSpPr/>
      </xdr:nvSpPr>
      <xdr:spPr>
        <a:xfrm>
          <a:off x="1365250" y="241300"/>
          <a:ext cx="1168400" cy="238126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</a:rPr>
            <a:t>Get Customer Data</a:t>
          </a:r>
        </a:p>
      </xdr:txBody>
    </xdr:sp>
    <xdr:clientData/>
  </xdr:twoCellAnchor>
  <xdr:twoCellAnchor editAs="oneCell">
    <xdr:from>
      <xdr:col>4</xdr:col>
      <xdr:colOff>523875</xdr:colOff>
      <xdr:row>1</xdr:row>
      <xdr:rowOff>38100</xdr:rowOff>
    </xdr:from>
    <xdr:to>
      <xdr:col>5</xdr:col>
      <xdr:colOff>222761</xdr:colOff>
      <xdr:row>2</xdr:row>
      <xdr:rowOff>95250</xdr:rowOff>
    </xdr:to>
    <xdr:pic macro="[0]!customer_update">
      <xdr:nvPicPr>
        <xdr:cNvPr id="5" name="update" hidden="1">
          <a:extLst>
            <a:ext uri="{FF2B5EF4-FFF2-40B4-BE49-F238E27FC236}">
              <a16:creationId xmlns:a16="http://schemas.microsoft.com/office/drawing/2014/main" id="{67DDB5C6-C831-478A-B7AB-B763DEC92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0800000">
          <a:off x="2209800" y="228600"/>
          <a:ext cx="298961" cy="247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customermail@gmail.com" TargetMode="External"/><Relationship Id="rId2" Type="http://schemas.openxmlformats.org/officeDocument/2006/relationships/hyperlink" Target="mailto:info.bonorupashop@gmail.com" TargetMode="External"/><Relationship Id="rId1" Type="http://schemas.openxmlformats.org/officeDocument/2006/relationships/hyperlink" Target="mailto:info.bonorupashop@gmail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kamrul@gmail.com" TargetMode="External"/><Relationship Id="rId2" Type="http://schemas.openxmlformats.org/officeDocument/2006/relationships/hyperlink" Target="mailto:abdullah@gmail.com" TargetMode="External"/><Relationship Id="rId1" Type="http://schemas.openxmlformats.org/officeDocument/2006/relationships/hyperlink" Target="mailto:mamun@gmail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D8770-7F26-4539-80C2-B8D72A119ABC}">
  <sheetPr codeName="Sheet1">
    <pageSetUpPr fitToPage="1"/>
  </sheetPr>
  <dimension ref="B1:R36"/>
  <sheetViews>
    <sheetView tabSelected="1" zoomScaleNormal="100" zoomScaleSheetLayoutView="100" workbookViewId="0">
      <selection activeCell="H31" sqref="H31:H32"/>
    </sheetView>
  </sheetViews>
  <sheetFormatPr defaultColWidth="9" defaultRowHeight="15"/>
  <cols>
    <col min="1" max="1" width="3" customWidth="1"/>
    <col min="2" max="2" width="8.28515625" customWidth="1"/>
    <col min="3" max="3" width="1.5703125" bestFit="1" customWidth="1"/>
    <col min="4" max="4" width="12.42578125" customWidth="1"/>
    <col min="6" max="6" width="9" customWidth="1"/>
    <col min="7" max="7" width="9.42578125" customWidth="1"/>
    <col min="8" max="8" width="8.28515625" customWidth="1"/>
    <col min="9" max="9" width="10.7109375" customWidth="1"/>
    <col min="10" max="10" width="10.5703125" customWidth="1"/>
    <col min="11" max="11" width="8.28515625" customWidth="1"/>
    <col min="12" max="12" width="1.5703125" bestFit="1" customWidth="1"/>
    <col min="13" max="13" width="12.42578125" customWidth="1"/>
    <col min="16" max="16" width="9.42578125" customWidth="1"/>
    <col min="17" max="17" width="8.28515625" customWidth="1"/>
    <col min="18" max="18" width="10.7109375" customWidth="1"/>
  </cols>
  <sheetData>
    <row r="1" spans="2:18">
      <c r="L1" t="str">
        <f t="shared" ref="L1:R1" si="0">IF(LEN(C1)&gt;0,C1,"")</f>
        <v/>
      </c>
      <c r="M1" t="str">
        <f t="shared" si="0"/>
        <v/>
      </c>
      <c r="N1" t="str">
        <f t="shared" si="0"/>
        <v/>
      </c>
      <c r="O1" t="str">
        <f t="shared" si="0"/>
        <v/>
      </c>
      <c r="P1" t="str">
        <f t="shared" si="0"/>
        <v/>
      </c>
      <c r="Q1" t="str">
        <f t="shared" si="0"/>
        <v/>
      </c>
      <c r="R1" t="str">
        <f t="shared" si="0"/>
        <v/>
      </c>
    </row>
    <row r="3" spans="2:18" ht="9.75" customHeight="1"/>
    <row r="4" spans="2:18">
      <c r="B4" s="53" t="s">
        <v>63</v>
      </c>
      <c r="C4" s="53" t="s">
        <v>2</v>
      </c>
      <c r="D4" s="81">
        <v>3</v>
      </c>
      <c r="E4" s="81"/>
      <c r="F4" s="81"/>
      <c r="G4" s="1" t="s">
        <v>0</v>
      </c>
      <c r="H4" s="1"/>
      <c r="K4" s="53" t="str">
        <f>IF(LEN(B4)&gt;0,B4,"")</f>
        <v>ID</v>
      </c>
      <c r="L4" s="1"/>
      <c r="M4" s="81">
        <f>IF(LEN(D4)&gt;0,D4,"")</f>
        <v>3</v>
      </c>
      <c r="N4" s="81"/>
      <c r="O4" s="81"/>
      <c r="P4" s="1" t="str">
        <f>IF(LEN(G4)&gt;0,G4,"")</f>
        <v>Contact US:</v>
      </c>
      <c r="Q4" s="2"/>
    </row>
    <row r="5" spans="2:18" ht="12.75" customHeight="1">
      <c r="B5" s="3" t="s">
        <v>1</v>
      </c>
      <c r="C5" s="53" t="s">
        <v>2</v>
      </c>
      <c r="D5" s="80" t="s">
        <v>75</v>
      </c>
      <c r="E5" s="80"/>
      <c r="F5" s="80"/>
      <c r="G5" s="83" t="s">
        <v>3</v>
      </c>
      <c r="H5" s="83"/>
      <c r="I5" s="83"/>
      <c r="K5" s="3" t="str">
        <f t="shared" ref="K5:L8" si="1">IF(LEN(B5)&gt;0,B5,"")</f>
        <v>Name</v>
      </c>
      <c r="L5" s="3" t="str">
        <f t="shared" si="1"/>
        <v>:</v>
      </c>
      <c r="M5" s="80" t="str">
        <f>IF(LEN(D5)&gt;0,D5,"")</f>
        <v>Abdullah</v>
      </c>
      <c r="N5" s="80"/>
      <c r="O5" s="80"/>
      <c r="P5" s="4" t="str">
        <f>IF(LEN(G5)&gt;0,G5,"")</f>
        <v>G: info.bonorupashop@gmail.com</v>
      </c>
      <c r="Q5" s="4"/>
      <c r="R5" s="4"/>
    </row>
    <row r="6" spans="2:18" ht="12.75" customHeight="1">
      <c r="B6" s="3" t="s">
        <v>4</v>
      </c>
      <c r="C6" s="53" t="s">
        <v>2</v>
      </c>
      <c r="D6" s="80" t="s">
        <v>76</v>
      </c>
      <c r="E6" s="80"/>
      <c r="F6" s="80"/>
      <c r="G6" s="3" t="s">
        <v>5</v>
      </c>
      <c r="H6" s="3"/>
      <c r="I6" s="3"/>
      <c r="K6" s="3" t="str">
        <f t="shared" si="1"/>
        <v>Address</v>
      </c>
      <c r="L6" s="3" t="str">
        <f t="shared" si="1"/>
        <v>:</v>
      </c>
      <c r="M6" s="80" t="str">
        <f>IF(LEN(D6)&gt;0,D6,"")</f>
        <v>Gulshan</v>
      </c>
      <c r="N6" s="80"/>
      <c r="O6" s="80"/>
      <c r="P6" s="3" t="str">
        <f>IF(LEN(G6)&gt;0,G6,"")</f>
        <v>Mobile: 01827470063</v>
      </c>
      <c r="Q6" s="3"/>
      <c r="R6" s="3"/>
    </row>
    <row r="7" spans="2:18" ht="12.75" customHeight="1">
      <c r="B7" s="3" t="s">
        <v>62</v>
      </c>
      <c r="C7" s="53" t="s">
        <v>2</v>
      </c>
      <c r="D7" s="82" t="s">
        <v>77</v>
      </c>
      <c r="E7" s="80"/>
      <c r="F7" s="80"/>
      <c r="G7" s="3" t="s">
        <v>6</v>
      </c>
      <c r="H7" s="3"/>
      <c r="I7" s="3"/>
      <c r="J7" s="64"/>
      <c r="K7" s="3" t="str">
        <f t="shared" si="1"/>
        <v>Email</v>
      </c>
      <c r="L7" s="3" t="str">
        <f t="shared" si="1"/>
        <v>:</v>
      </c>
      <c r="M7" s="82" t="str">
        <f>IF(LEN(D7)&gt;0,D7,"")</f>
        <v>abdullah@gmail.com</v>
      </c>
      <c r="N7" s="80"/>
      <c r="O7" s="80"/>
      <c r="P7" s="3" t="str">
        <f>IF(LEN(G7)&gt;0,G7,"")</f>
        <v>fb/bonorupashop</v>
      </c>
      <c r="Q7" s="3"/>
      <c r="R7" s="3"/>
    </row>
    <row r="8" spans="2:18" ht="12.75" customHeight="1">
      <c r="B8" s="3" t="s">
        <v>7</v>
      </c>
      <c r="C8" s="53" t="s">
        <v>2</v>
      </c>
      <c r="D8" s="85" t="s">
        <v>80</v>
      </c>
      <c r="E8" s="85"/>
      <c r="F8" s="85"/>
      <c r="G8" s="3" t="s">
        <v>8</v>
      </c>
      <c r="H8" s="3"/>
      <c r="I8" s="3"/>
      <c r="J8" s="64"/>
      <c r="K8" s="3" t="str">
        <f t="shared" si="1"/>
        <v>Phone</v>
      </c>
      <c r="L8" s="3" t="str">
        <f t="shared" si="1"/>
        <v>:</v>
      </c>
      <c r="M8" s="85" t="str">
        <f>IF(LEN(D8)&gt;0,D8,"")</f>
        <v>1212</v>
      </c>
      <c r="N8" s="85"/>
      <c r="O8" s="85"/>
      <c r="P8" s="3" t="str">
        <f>IF(LEN(G8)&gt;0,G8,"")</f>
        <v>Mohammadpur, Dhaka-1207</v>
      </c>
      <c r="Q8" s="3"/>
      <c r="R8" s="3"/>
    </row>
    <row r="9" spans="2:18" ht="6.75" customHeight="1">
      <c r="B9" s="7"/>
      <c r="C9" s="7"/>
      <c r="D9" s="7"/>
      <c r="E9" s="7"/>
      <c r="F9" s="7"/>
      <c r="G9" s="7"/>
      <c r="H9" s="7"/>
      <c r="I9" s="7"/>
      <c r="K9" s="7"/>
      <c r="L9" s="7"/>
      <c r="M9" s="7"/>
      <c r="N9" s="7"/>
      <c r="O9" s="7"/>
      <c r="P9" s="7"/>
      <c r="Q9" s="7"/>
      <c r="R9" s="7"/>
    </row>
    <row r="10" spans="2:18" ht="9" customHeight="1">
      <c r="B10" s="29"/>
      <c r="C10" s="29"/>
      <c r="D10" s="29"/>
      <c r="E10" s="29"/>
      <c r="F10" s="29"/>
      <c r="G10" s="29"/>
      <c r="H10" s="29"/>
      <c r="I10" s="29"/>
      <c r="K10" s="29"/>
      <c r="L10" s="29"/>
      <c r="M10" s="29"/>
      <c r="N10" s="29"/>
      <c r="O10" s="29"/>
      <c r="P10" s="29"/>
      <c r="Q10" s="29"/>
      <c r="R10" s="29"/>
    </row>
    <row r="11" spans="2:18" ht="21" customHeight="1">
      <c r="B11" s="28" t="s">
        <v>9</v>
      </c>
      <c r="C11" s="84" t="s">
        <v>41</v>
      </c>
      <c r="D11" s="84"/>
      <c r="E11" s="84"/>
      <c r="F11" s="84"/>
      <c r="G11" s="28" t="s">
        <v>10</v>
      </c>
      <c r="H11" s="28" t="s">
        <v>11</v>
      </c>
      <c r="I11" s="28" t="s">
        <v>12</v>
      </c>
      <c r="K11" s="28" t="str">
        <f t="shared" ref="K11:R26" si="2">IF(LEN(B11)&gt;0,B11,"")</f>
        <v>Sl. No.</v>
      </c>
      <c r="L11" s="84" t="str">
        <f t="shared" si="2"/>
        <v>Product Name</v>
      </c>
      <c r="M11" s="84" t="str">
        <f t="shared" si="2"/>
        <v/>
      </c>
      <c r="N11" s="84" t="str">
        <f t="shared" si="2"/>
        <v/>
      </c>
      <c r="O11" s="84" t="str">
        <f t="shared" si="2"/>
        <v/>
      </c>
      <c r="P11" s="28" t="str">
        <f t="shared" si="2"/>
        <v>Qty</v>
      </c>
      <c r="Q11" s="28" t="str">
        <f t="shared" si="2"/>
        <v>Rate</v>
      </c>
      <c r="R11" s="28" t="str">
        <f t="shared" si="2"/>
        <v>Amount</v>
      </c>
    </row>
    <row r="12" spans="2:18">
      <c r="B12" s="25">
        <v>1</v>
      </c>
      <c r="C12" s="69"/>
      <c r="D12" s="69"/>
      <c r="E12" s="69"/>
      <c r="F12" s="69"/>
      <c r="G12" s="25"/>
      <c r="H12" s="25"/>
      <c r="I12" s="26" t="str">
        <f>IF(LEN(C12)&gt;0,G12*H12,"")</f>
        <v/>
      </c>
      <c r="K12" s="25">
        <f t="shared" si="2"/>
        <v>1</v>
      </c>
      <c r="L12" s="69" t="str">
        <f t="shared" si="2"/>
        <v/>
      </c>
      <c r="M12" s="69" t="str">
        <f t="shared" si="2"/>
        <v/>
      </c>
      <c r="N12" s="69" t="str">
        <f t="shared" si="2"/>
        <v/>
      </c>
      <c r="O12" s="69" t="str">
        <f t="shared" si="2"/>
        <v/>
      </c>
      <c r="P12" s="25" t="str">
        <f t="shared" si="2"/>
        <v/>
      </c>
      <c r="Q12" s="25" t="str">
        <f t="shared" si="2"/>
        <v/>
      </c>
      <c r="R12" s="41" t="str">
        <f t="shared" si="2"/>
        <v/>
      </c>
    </row>
    <row r="13" spans="2:18">
      <c r="B13" s="25">
        <v>2</v>
      </c>
      <c r="C13" s="69"/>
      <c r="D13" s="69"/>
      <c r="E13" s="69"/>
      <c r="F13" s="69"/>
      <c r="G13" s="25"/>
      <c r="H13" s="25"/>
      <c r="I13" s="26" t="str">
        <f>IF(LEN(C13)&gt;0,G13*H13,"")</f>
        <v/>
      </c>
      <c r="K13" s="25">
        <f t="shared" si="2"/>
        <v>2</v>
      </c>
      <c r="L13" s="69" t="str">
        <f t="shared" si="2"/>
        <v/>
      </c>
      <c r="M13" s="69" t="str">
        <f t="shared" si="2"/>
        <v/>
      </c>
      <c r="N13" s="69"/>
      <c r="O13" s="69" t="str">
        <f t="shared" si="2"/>
        <v/>
      </c>
      <c r="P13" s="25" t="str">
        <f t="shared" si="2"/>
        <v/>
      </c>
      <c r="Q13" s="25" t="str">
        <f t="shared" si="2"/>
        <v/>
      </c>
      <c r="R13" s="41" t="str">
        <f t="shared" si="2"/>
        <v/>
      </c>
    </row>
    <row r="14" spans="2:18">
      <c r="B14" s="25">
        <v>3</v>
      </c>
      <c r="C14" s="69"/>
      <c r="D14" s="69"/>
      <c r="E14" s="69"/>
      <c r="F14" s="69"/>
      <c r="G14" s="25"/>
      <c r="H14" s="25"/>
      <c r="I14" s="26" t="str">
        <f>IF(LEN(C14)&gt;0,G14*H14,"")</f>
        <v/>
      </c>
      <c r="K14" s="25">
        <f t="shared" si="2"/>
        <v>3</v>
      </c>
      <c r="L14" s="69" t="str">
        <f t="shared" si="2"/>
        <v/>
      </c>
      <c r="M14" s="69" t="str">
        <f t="shared" si="2"/>
        <v/>
      </c>
      <c r="N14" s="69" t="str">
        <f t="shared" si="2"/>
        <v/>
      </c>
      <c r="O14" s="69" t="str">
        <f t="shared" si="2"/>
        <v/>
      </c>
      <c r="P14" s="25" t="str">
        <f t="shared" si="2"/>
        <v/>
      </c>
      <c r="Q14" s="25" t="str">
        <f t="shared" si="2"/>
        <v/>
      </c>
      <c r="R14" s="41" t="str">
        <f t="shared" si="2"/>
        <v/>
      </c>
    </row>
    <row r="15" spans="2:18">
      <c r="B15" s="25">
        <v>4</v>
      </c>
      <c r="C15" s="69"/>
      <c r="D15" s="69"/>
      <c r="E15" s="69"/>
      <c r="F15" s="69"/>
      <c r="G15" s="25"/>
      <c r="H15" s="25"/>
      <c r="I15" s="26" t="str">
        <f>IF(LEN(C15)&gt;0,G15*H15,"")</f>
        <v/>
      </c>
      <c r="K15" s="25">
        <f t="shared" si="2"/>
        <v>4</v>
      </c>
      <c r="L15" s="69" t="str">
        <f t="shared" si="2"/>
        <v/>
      </c>
      <c r="M15" s="69" t="str">
        <f t="shared" si="2"/>
        <v/>
      </c>
      <c r="N15" s="69" t="str">
        <f t="shared" si="2"/>
        <v/>
      </c>
      <c r="O15" s="69" t="str">
        <f t="shared" si="2"/>
        <v/>
      </c>
      <c r="P15" s="25" t="str">
        <f t="shared" si="2"/>
        <v/>
      </c>
      <c r="Q15" s="25" t="str">
        <f t="shared" si="2"/>
        <v/>
      </c>
      <c r="R15" s="41" t="str">
        <f t="shared" si="2"/>
        <v/>
      </c>
    </row>
    <row r="16" spans="2:18">
      <c r="B16" s="25">
        <v>5</v>
      </c>
      <c r="C16" s="69"/>
      <c r="D16" s="69"/>
      <c r="E16" s="69"/>
      <c r="F16" s="69"/>
      <c r="G16" s="25"/>
      <c r="H16" s="25"/>
      <c r="I16" s="26" t="str">
        <f>IF(LEN(C16)&gt;0,G16*H16,"")</f>
        <v/>
      </c>
      <c r="K16" s="25">
        <f t="shared" si="2"/>
        <v>5</v>
      </c>
      <c r="L16" s="69" t="str">
        <f t="shared" si="2"/>
        <v/>
      </c>
      <c r="M16" s="69" t="str">
        <f t="shared" si="2"/>
        <v/>
      </c>
      <c r="N16" s="69" t="str">
        <f t="shared" si="2"/>
        <v/>
      </c>
      <c r="O16" s="69" t="str">
        <f t="shared" si="2"/>
        <v/>
      </c>
      <c r="P16" s="25" t="str">
        <f t="shared" si="2"/>
        <v/>
      </c>
      <c r="Q16" s="25" t="str">
        <f t="shared" si="2"/>
        <v/>
      </c>
      <c r="R16" s="41" t="str">
        <f t="shared" si="2"/>
        <v/>
      </c>
    </row>
    <row r="17" spans="2:18">
      <c r="B17" s="25">
        <v>6</v>
      </c>
      <c r="C17" s="69"/>
      <c r="D17" s="69"/>
      <c r="E17" s="69"/>
      <c r="F17" s="69"/>
      <c r="G17" s="25"/>
      <c r="H17" s="25"/>
      <c r="I17" s="26" t="str">
        <f>IF(LEN(C17)&gt;0,G17*H17,"")</f>
        <v/>
      </c>
      <c r="K17" s="25">
        <f t="shared" si="2"/>
        <v>6</v>
      </c>
      <c r="L17" s="69" t="str">
        <f t="shared" si="2"/>
        <v/>
      </c>
      <c r="M17" s="69" t="str">
        <f t="shared" si="2"/>
        <v/>
      </c>
      <c r="N17" s="69" t="str">
        <f t="shared" si="2"/>
        <v/>
      </c>
      <c r="O17" s="69" t="str">
        <f t="shared" si="2"/>
        <v/>
      </c>
      <c r="P17" s="25" t="str">
        <f t="shared" si="2"/>
        <v/>
      </c>
      <c r="Q17" s="25" t="str">
        <f t="shared" si="2"/>
        <v/>
      </c>
      <c r="R17" s="41" t="str">
        <f t="shared" si="2"/>
        <v/>
      </c>
    </row>
    <row r="18" spans="2:18">
      <c r="B18" s="25">
        <v>7</v>
      </c>
      <c r="C18" s="69"/>
      <c r="D18" s="69"/>
      <c r="E18" s="69"/>
      <c r="F18" s="69"/>
      <c r="G18" s="25"/>
      <c r="H18" s="25"/>
      <c r="I18" s="26" t="str">
        <f>IF(LEN(C18)&gt;0,G18*H18,"")</f>
        <v/>
      </c>
      <c r="K18" s="25">
        <f t="shared" si="2"/>
        <v>7</v>
      </c>
      <c r="L18" s="69" t="str">
        <f t="shared" si="2"/>
        <v/>
      </c>
      <c r="M18" s="69" t="str">
        <f t="shared" si="2"/>
        <v/>
      </c>
      <c r="N18" s="69" t="str">
        <f t="shared" si="2"/>
        <v/>
      </c>
      <c r="O18" s="69" t="str">
        <f t="shared" si="2"/>
        <v/>
      </c>
      <c r="P18" s="25" t="str">
        <f t="shared" si="2"/>
        <v/>
      </c>
      <c r="Q18" s="25" t="str">
        <f t="shared" si="2"/>
        <v/>
      </c>
      <c r="R18" s="41" t="str">
        <f t="shared" si="2"/>
        <v/>
      </c>
    </row>
    <row r="19" spans="2:18">
      <c r="B19" s="25">
        <v>8</v>
      </c>
      <c r="C19" s="69"/>
      <c r="D19" s="69"/>
      <c r="E19" s="69"/>
      <c r="F19" s="69"/>
      <c r="G19" s="25"/>
      <c r="H19" s="25"/>
      <c r="I19" s="26" t="str">
        <f>IF(LEN(C19)&gt;0,G19*H19,"")</f>
        <v/>
      </c>
      <c r="K19" s="25">
        <f t="shared" si="2"/>
        <v>8</v>
      </c>
      <c r="L19" s="69" t="str">
        <f t="shared" si="2"/>
        <v/>
      </c>
      <c r="M19" s="69" t="str">
        <f t="shared" si="2"/>
        <v/>
      </c>
      <c r="N19" s="69" t="str">
        <f t="shared" si="2"/>
        <v/>
      </c>
      <c r="O19" s="69" t="str">
        <f t="shared" si="2"/>
        <v/>
      </c>
      <c r="P19" s="25" t="str">
        <f t="shared" si="2"/>
        <v/>
      </c>
      <c r="Q19" s="25" t="str">
        <f t="shared" si="2"/>
        <v/>
      </c>
      <c r="R19" s="41" t="str">
        <f t="shared" si="2"/>
        <v/>
      </c>
    </row>
    <row r="20" spans="2:18">
      <c r="B20" s="25">
        <v>9</v>
      </c>
      <c r="C20" s="69"/>
      <c r="D20" s="69"/>
      <c r="E20" s="69"/>
      <c r="F20" s="69"/>
      <c r="G20" s="25"/>
      <c r="H20" s="25"/>
      <c r="I20" s="26" t="str">
        <f>IF(LEN(C20)&gt;0,G20*H20,"")</f>
        <v/>
      </c>
      <c r="K20" s="25">
        <f t="shared" si="2"/>
        <v>9</v>
      </c>
      <c r="L20" s="69" t="str">
        <f t="shared" si="2"/>
        <v/>
      </c>
      <c r="M20" s="69" t="str">
        <f t="shared" si="2"/>
        <v/>
      </c>
      <c r="N20" s="69" t="str">
        <f t="shared" si="2"/>
        <v/>
      </c>
      <c r="O20" s="69" t="str">
        <f t="shared" si="2"/>
        <v/>
      </c>
      <c r="P20" s="25" t="str">
        <f t="shared" si="2"/>
        <v/>
      </c>
      <c r="Q20" s="25" t="str">
        <f t="shared" si="2"/>
        <v/>
      </c>
      <c r="R20" s="41" t="str">
        <f t="shared" si="2"/>
        <v/>
      </c>
    </row>
    <row r="21" spans="2:18">
      <c r="B21" s="25">
        <v>10</v>
      </c>
      <c r="C21" s="69"/>
      <c r="D21" s="69"/>
      <c r="E21" s="69"/>
      <c r="F21" s="69"/>
      <c r="G21" s="25"/>
      <c r="H21" s="25"/>
      <c r="I21" s="26" t="str">
        <f>IF(LEN(C21)&gt;0,G21*H21,"")</f>
        <v/>
      </c>
      <c r="K21" s="25">
        <f t="shared" si="2"/>
        <v>10</v>
      </c>
      <c r="L21" s="69" t="str">
        <f t="shared" si="2"/>
        <v/>
      </c>
      <c r="M21" s="69" t="str">
        <f t="shared" si="2"/>
        <v/>
      </c>
      <c r="N21" s="69" t="str">
        <f t="shared" si="2"/>
        <v/>
      </c>
      <c r="O21" s="69" t="str">
        <f t="shared" si="2"/>
        <v/>
      </c>
      <c r="P21" s="25" t="str">
        <f t="shared" si="2"/>
        <v/>
      </c>
      <c r="Q21" s="25" t="str">
        <f t="shared" si="2"/>
        <v/>
      </c>
      <c r="R21" s="41" t="str">
        <f t="shared" si="2"/>
        <v/>
      </c>
    </row>
    <row r="22" spans="2:18">
      <c r="B22" s="25">
        <v>11</v>
      </c>
      <c r="C22" s="69"/>
      <c r="D22" s="69"/>
      <c r="E22" s="69"/>
      <c r="F22" s="69"/>
      <c r="G22" s="25"/>
      <c r="H22" s="25"/>
      <c r="I22" s="26" t="str">
        <f>IF(LEN(C22)&gt;0,G22*H22,"")</f>
        <v/>
      </c>
      <c r="K22" s="25">
        <f t="shared" si="2"/>
        <v>11</v>
      </c>
      <c r="L22" s="69" t="str">
        <f t="shared" si="2"/>
        <v/>
      </c>
      <c r="M22" s="69" t="str">
        <f t="shared" si="2"/>
        <v/>
      </c>
      <c r="N22" s="69" t="str">
        <f t="shared" si="2"/>
        <v/>
      </c>
      <c r="O22" s="69" t="str">
        <f t="shared" si="2"/>
        <v/>
      </c>
      <c r="P22" s="25" t="str">
        <f t="shared" si="2"/>
        <v/>
      </c>
      <c r="Q22" s="25" t="str">
        <f t="shared" si="2"/>
        <v/>
      </c>
      <c r="R22" s="41" t="str">
        <f t="shared" si="2"/>
        <v/>
      </c>
    </row>
    <row r="23" spans="2:18">
      <c r="B23" s="25">
        <v>12</v>
      </c>
      <c r="C23" s="69"/>
      <c r="D23" s="69"/>
      <c r="E23" s="69"/>
      <c r="F23" s="69"/>
      <c r="G23" s="25"/>
      <c r="H23" s="25"/>
      <c r="I23" s="26" t="str">
        <f>IF(LEN(C23)&gt;0,G23*H23,"")</f>
        <v/>
      </c>
      <c r="K23" s="25">
        <f t="shared" si="2"/>
        <v>12</v>
      </c>
      <c r="L23" s="69" t="str">
        <f t="shared" si="2"/>
        <v/>
      </c>
      <c r="M23" s="69" t="str">
        <f t="shared" si="2"/>
        <v/>
      </c>
      <c r="N23" s="69" t="str">
        <f t="shared" si="2"/>
        <v/>
      </c>
      <c r="O23" s="69" t="str">
        <f t="shared" si="2"/>
        <v/>
      </c>
      <c r="P23" s="25" t="str">
        <f t="shared" si="2"/>
        <v/>
      </c>
      <c r="Q23" s="25" t="str">
        <f t="shared" si="2"/>
        <v/>
      </c>
      <c r="R23" s="41" t="str">
        <f t="shared" si="2"/>
        <v/>
      </c>
    </row>
    <row r="24" spans="2:18">
      <c r="B24" s="25">
        <v>13</v>
      </c>
      <c r="C24" s="69"/>
      <c r="D24" s="69"/>
      <c r="E24" s="69"/>
      <c r="F24" s="69"/>
      <c r="G24" s="25"/>
      <c r="H24" s="25"/>
      <c r="I24" s="26" t="str">
        <f>IF(LEN(C24)&gt;0,G24*H24,"")</f>
        <v/>
      </c>
      <c r="K24" s="25">
        <f t="shared" si="2"/>
        <v>13</v>
      </c>
      <c r="L24" s="69" t="str">
        <f t="shared" si="2"/>
        <v/>
      </c>
      <c r="M24" s="69" t="str">
        <f t="shared" si="2"/>
        <v/>
      </c>
      <c r="N24" s="69" t="str">
        <f t="shared" si="2"/>
        <v/>
      </c>
      <c r="O24" s="69" t="str">
        <f t="shared" si="2"/>
        <v/>
      </c>
      <c r="P24" s="25" t="str">
        <f t="shared" si="2"/>
        <v/>
      </c>
      <c r="Q24" s="25" t="str">
        <f t="shared" si="2"/>
        <v/>
      </c>
      <c r="R24" s="41" t="str">
        <f t="shared" si="2"/>
        <v/>
      </c>
    </row>
    <row r="25" spans="2:18">
      <c r="B25" s="70" t="s">
        <v>55</v>
      </c>
      <c r="C25" s="70"/>
      <c r="D25" s="70"/>
      <c r="E25" s="70"/>
      <c r="F25" s="70"/>
      <c r="G25" s="70"/>
      <c r="H25" s="70"/>
      <c r="I25" s="27">
        <f>SUM(I12:I24)</f>
        <v>0</v>
      </c>
      <c r="K25" s="70" t="str">
        <f>IF(LEN(B25)&gt;0,B25,"")</f>
        <v>Total Amount :</v>
      </c>
      <c r="L25" s="70"/>
      <c r="M25" s="70"/>
      <c r="N25" s="70"/>
      <c r="O25" s="70"/>
      <c r="P25" s="70"/>
      <c r="Q25" s="70"/>
      <c r="R25" s="27">
        <f t="shared" si="2"/>
        <v>0</v>
      </c>
    </row>
    <row r="26" spans="2:18">
      <c r="B26" s="70" t="s">
        <v>56</v>
      </c>
      <c r="C26" s="70"/>
      <c r="D26" s="70"/>
      <c r="E26" s="70"/>
      <c r="F26" s="70"/>
      <c r="G26" s="70"/>
      <c r="H26" s="70"/>
      <c r="I26" s="27"/>
      <c r="K26" s="70" t="str">
        <f>IF(LEN(B26)&gt;0,B26,"")</f>
        <v>Total Payment :</v>
      </c>
      <c r="L26" s="70"/>
      <c r="M26" s="70"/>
      <c r="N26" s="70"/>
      <c r="O26" s="70"/>
      <c r="P26" s="70"/>
      <c r="Q26" s="70"/>
      <c r="R26" s="27" t="str">
        <f t="shared" si="2"/>
        <v/>
      </c>
    </row>
    <row r="27" spans="2:18">
      <c r="B27" s="75" t="s">
        <v>57</v>
      </c>
      <c r="C27" s="75"/>
      <c r="D27" s="75"/>
      <c r="E27" s="75"/>
      <c r="F27" s="75"/>
      <c r="G27" s="75"/>
      <c r="H27" s="75"/>
      <c r="I27" s="40">
        <f>I25-I26</f>
        <v>0</v>
      </c>
      <c r="K27" s="75" t="str">
        <f>IF(LEN(B27)&gt;0,B27,"")</f>
        <v>Due :</v>
      </c>
      <c r="L27" s="75"/>
      <c r="M27" s="75"/>
      <c r="N27" s="75"/>
      <c r="O27" s="75"/>
      <c r="P27" s="75"/>
      <c r="Q27" s="75"/>
      <c r="R27" s="40">
        <f>IF(LEN(I27)&gt;0,I27,"")</f>
        <v>0</v>
      </c>
    </row>
    <row r="28" spans="2:18">
      <c r="B28" s="76" t="s">
        <v>58</v>
      </c>
      <c r="C28" s="77"/>
      <c r="D28" s="77"/>
      <c r="E28" s="77"/>
      <c r="F28" s="77"/>
      <c r="G28" s="77"/>
      <c r="H28" s="78"/>
      <c r="I28" s="27"/>
      <c r="K28" s="79" t="str">
        <f>IF(LEN(B28)&gt;0,B28,"")</f>
        <v>Now payable Tk :</v>
      </c>
      <c r="L28" s="79"/>
      <c r="M28" s="79"/>
      <c r="N28" s="79"/>
      <c r="O28" s="79"/>
      <c r="P28" s="79"/>
      <c r="Q28" s="79"/>
      <c r="R28" s="27" t="str">
        <f>IF(LEN(I28)&gt;0,I28,"")</f>
        <v/>
      </c>
    </row>
    <row r="29" spans="2:18" ht="6.75" customHeight="1">
      <c r="B29" s="5"/>
      <c r="K29" s="5"/>
    </row>
    <row r="30" spans="2:18" ht="6.75" customHeight="1">
      <c r="B30" s="5"/>
      <c r="K30" s="5"/>
    </row>
    <row r="31" spans="2:18" ht="6.75" customHeight="1">
      <c r="B31" s="74" t="str">
        <f xml:space="preserve"> "Payment Method: "&amp; IF(B10="update-mode","("&amp;Controller!B12 &amp; ")","")</f>
        <v xml:space="preserve">Payment Method: </v>
      </c>
      <c r="C31" s="74"/>
      <c r="D31" s="74"/>
      <c r="E31" s="71"/>
      <c r="F31" s="71"/>
      <c r="G31" s="68" t="s">
        <v>49</v>
      </c>
      <c r="H31" s="68"/>
      <c r="I31" s="67"/>
      <c r="J31" s="24"/>
      <c r="K31" s="74" t="str">
        <f>IF(LEN(B31)&gt;0,B31,"")</f>
        <v xml:space="preserve">Payment Method: </v>
      </c>
      <c r="L31" s="74"/>
      <c r="M31" s="74"/>
      <c r="N31" s="72"/>
      <c r="O31" s="73"/>
      <c r="P31" s="68" t="str">
        <f>G31</f>
        <v>Order No:</v>
      </c>
      <c r="Q31" s="68" t="str">
        <f>IF(LEN(H31)&gt;0,H31,"")</f>
        <v/>
      </c>
      <c r="R31" s="67"/>
    </row>
    <row r="32" spans="2:18" ht="12.75" customHeight="1">
      <c r="B32" s="74"/>
      <c r="C32" s="74"/>
      <c r="D32" s="74"/>
      <c r="E32" s="71"/>
      <c r="F32" s="71"/>
      <c r="G32" s="68"/>
      <c r="H32" s="68"/>
      <c r="I32" s="67"/>
      <c r="J32" s="24"/>
      <c r="K32" s="74"/>
      <c r="L32" s="74"/>
      <c r="M32" s="74"/>
      <c r="N32" s="73"/>
      <c r="O32" s="73"/>
      <c r="P32" s="68"/>
      <c r="Q32" s="68"/>
      <c r="R32" s="67"/>
    </row>
    <row r="33" spans="2:18" ht="12.95" customHeight="1">
      <c r="B33" s="44" t="s">
        <v>13</v>
      </c>
      <c r="C33" s="45"/>
      <c r="D33" s="46"/>
      <c r="E33" s="71"/>
      <c r="F33" s="71"/>
      <c r="I33" s="42"/>
      <c r="J33" t="s">
        <v>30</v>
      </c>
      <c r="K33" s="44" t="str">
        <f t="shared" ref="K33:M36" si="3">IF(LEN(B33)&gt;0,B33,"")</f>
        <v>Cash</v>
      </c>
      <c r="L33" s="45"/>
      <c r="M33" s="46" t="str">
        <f t="shared" si="3"/>
        <v/>
      </c>
      <c r="N33" s="73"/>
      <c r="O33" s="73"/>
      <c r="P33" s="23"/>
      <c r="Q33" s="23"/>
      <c r="R33" s="23"/>
    </row>
    <row r="34" spans="2:18" ht="12.95" customHeight="1">
      <c r="B34" s="47" t="s">
        <v>14</v>
      </c>
      <c r="C34" s="48"/>
      <c r="D34" s="49"/>
      <c r="E34" s="71"/>
      <c r="F34" s="71"/>
      <c r="K34" s="47" t="str">
        <f t="shared" si="3"/>
        <v>Bkash</v>
      </c>
      <c r="L34" s="48"/>
      <c r="M34" s="49" t="str">
        <f t="shared" si="3"/>
        <v/>
      </c>
      <c r="N34" s="73"/>
      <c r="O34" s="73"/>
    </row>
    <row r="35" spans="2:18" ht="12.95" customHeight="1">
      <c r="B35" s="47" t="s">
        <v>15</v>
      </c>
      <c r="C35" s="48"/>
      <c r="D35" s="49"/>
      <c r="E35" s="71"/>
      <c r="F35" s="71"/>
      <c r="G35" s="6"/>
      <c r="H35" s="6"/>
      <c r="I35" s="6"/>
      <c r="K35" s="47" t="str">
        <f t="shared" si="3"/>
        <v>Roket</v>
      </c>
      <c r="L35" s="48"/>
      <c r="M35" s="49" t="str">
        <f t="shared" si="3"/>
        <v/>
      </c>
      <c r="N35" s="73"/>
      <c r="O35" s="73"/>
      <c r="P35" s="6"/>
      <c r="Q35" s="6"/>
      <c r="R35" s="6"/>
    </row>
    <row r="36" spans="2:18" ht="12.95" customHeight="1">
      <c r="B36" s="47" t="s">
        <v>16</v>
      </c>
      <c r="C36" s="48"/>
      <c r="D36" s="49"/>
      <c r="E36" s="71"/>
      <c r="F36" s="71"/>
      <c r="G36" s="66" t="s">
        <v>17</v>
      </c>
      <c r="H36" s="66"/>
      <c r="I36" s="66"/>
      <c r="K36" s="47" t="str">
        <f t="shared" si="3"/>
        <v>DBBL bank</v>
      </c>
      <c r="L36" s="48"/>
      <c r="M36" s="49" t="str">
        <f t="shared" si="3"/>
        <v/>
      </c>
      <c r="N36" s="73"/>
      <c r="O36" s="73"/>
      <c r="P36" s="66" t="str">
        <f>IF(LEN(G36)&gt;0,G36,"")</f>
        <v>Signature of Authority</v>
      </c>
      <c r="Q36" s="66"/>
      <c r="R36" s="66"/>
    </row>
  </sheetData>
  <mergeCells count="59">
    <mergeCell ref="D4:F4"/>
    <mergeCell ref="M4:O4"/>
    <mergeCell ref="M7:O7"/>
    <mergeCell ref="C13:F13"/>
    <mergeCell ref="L13:O13"/>
    <mergeCell ref="G5:I5"/>
    <mergeCell ref="C11:F11"/>
    <mergeCell ref="L11:O11"/>
    <mergeCell ref="C12:F12"/>
    <mergeCell ref="L12:O12"/>
    <mergeCell ref="D5:F5"/>
    <mergeCell ref="D6:F6"/>
    <mergeCell ref="D7:F7"/>
    <mergeCell ref="D8:F8"/>
    <mergeCell ref="M5:O5"/>
    <mergeCell ref="M8:O8"/>
    <mergeCell ref="M6:O6"/>
    <mergeCell ref="C14:F14"/>
    <mergeCell ref="L14:O14"/>
    <mergeCell ref="C15:F15"/>
    <mergeCell ref="L15:O15"/>
    <mergeCell ref="C16:F16"/>
    <mergeCell ref="L16:O16"/>
    <mergeCell ref="C17:F17"/>
    <mergeCell ref="L17:O17"/>
    <mergeCell ref="C18:F18"/>
    <mergeCell ref="L18:O18"/>
    <mergeCell ref="C19:F19"/>
    <mergeCell ref="L19:O19"/>
    <mergeCell ref="C20:F20"/>
    <mergeCell ref="L20:O20"/>
    <mergeCell ref="C21:F21"/>
    <mergeCell ref="L21:O21"/>
    <mergeCell ref="C22:F22"/>
    <mergeCell ref="L22:O22"/>
    <mergeCell ref="B31:D32"/>
    <mergeCell ref="K31:M32"/>
    <mergeCell ref="G31:G32"/>
    <mergeCell ref="B26:H26"/>
    <mergeCell ref="K26:Q26"/>
    <mergeCell ref="B27:H27"/>
    <mergeCell ref="K27:Q27"/>
    <mergeCell ref="B28:H28"/>
    <mergeCell ref="K28:Q28"/>
    <mergeCell ref="C23:F23"/>
    <mergeCell ref="L23:O23"/>
    <mergeCell ref="G36:I36"/>
    <mergeCell ref="P36:R36"/>
    <mergeCell ref="R31:R32"/>
    <mergeCell ref="P31:P32"/>
    <mergeCell ref="C24:F24"/>
    <mergeCell ref="L24:O24"/>
    <mergeCell ref="B25:H25"/>
    <mergeCell ref="K25:Q25"/>
    <mergeCell ref="Q31:Q32"/>
    <mergeCell ref="I31:I32"/>
    <mergeCell ref="E31:F36"/>
    <mergeCell ref="N31:O36"/>
    <mergeCell ref="H31:H32"/>
  </mergeCells>
  <conditionalFormatting sqref="K10:R10 B10:I10 B29:I29 K29:R29">
    <cfRule type="expression" dxfId="2" priority="4">
      <formula>$B$10 = "update-mode"</formula>
    </cfRule>
  </conditionalFormatting>
  <conditionalFormatting sqref="E31:F36 N31">
    <cfRule type="expression" dxfId="1" priority="3">
      <formula>LEN($E$31)&gt;0</formula>
    </cfRule>
  </conditionalFormatting>
  <conditionalFormatting sqref="H31:H32 Q31">
    <cfRule type="containsBlanks" dxfId="0" priority="2">
      <formula>LEN(TRIM(H31))=0</formula>
    </cfRule>
  </conditionalFormatting>
  <hyperlinks>
    <hyperlink ref="P5" r:id="rId1" display="info.bonorupashop@gmail.com" xr:uid="{885E1C42-9D06-432F-9A40-29ED914E40DE}"/>
    <hyperlink ref="G5" r:id="rId2" display="info.bonorupashop@gmail.com" xr:uid="{8C2C476E-FFD1-466F-97EE-E8ADC2164CEB}"/>
    <hyperlink ref="M7" r:id="rId3" display="customermail@gmail.com" xr:uid="{E78308AE-3F2A-499A-8CA3-9303A58B2240}"/>
  </hyperlinks>
  <pageMargins left="0.25" right="0.25" top="0.75" bottom="0.75" header="0.3" footer="0.3"/>
  <pageSetup scale="88" orientation="landscape" r:id="rId4"/>
  <drawing r:id="rId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66C9781F-3FA6-4F06-B119-809EF961BB2A}">
          <x14:formula1>
            <xm:f>Customers!$B$2:$B$1048576</xm:f>
          </x14:formula1>
          <xm:sqref>D5:F5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A22E2-E36F-4D8C-8E8D-88AC05F5699A}">
  <sheetPr codeName="Sheet2"/>
  <dimension ref="A1:E4"/>
  <sheetViews>
    <sheetView topLeftCell="A1048545" workbookViewId="0">
      <selection activeCell="B10" sqref="A10:B10"/>
    </sheetView>
  </sheetViews>
  <sheetFormatPr defaultRowHeight="15"/>
  <cols>
    <col min="1" max="1" width="14.140625" style="5" customWidth="1"/>
    <col min="2" max="2" width="20.28515625" style="30" customWidth="1"/>
    <col min="3" max="3" width="31.85546875" style="30" customWidth="1"/>
    <col min="4" max="4" width="28.140625" style="30" customWidth="1"/>
    <col min="5" max="5" width="14.5703125" style="30" customWidth="1"/>
    <col min="6" max="16384" width="9.140625" style="5"/>
  </cols>
  <sheetData>
    <row r="1" spans="1:5" s="21" customFormat="1">
      <c r="A1" s="50" t="s">
        <v>63</v>
      </c>
      <c r="B1" s="51" t="s">
        <v>1</v>
      </c>
      <c r="C1" s="51" t="s">
        <v>4</v>
      </c>
      <c r="D1" s="51" t="s">
        <v>62</v>
      </c>
      <c r="E1" s="51" t="s">
        <v>7</v>
      </c>
    </row>
    <row r="2" spans="1:5">
      <c r="A2" s="5">
        <v>2</v>
      </c>
      <c r="B2" s="30" t="s">
        <v>66</v>
      </c>
      <c r="C2" s="30" t="s">
        <v>94</v>
      </c>
      <c r="D2" s="52" t="s">
        <v>78</v>
      </c>
      <c r="E2" s="30" t="s">
        <v>79</v>
      </c>
    </row>
    <row r="3" spans="1:5">
      <c r="A3" s="5">
        <v>3</v>
      </c>
      <c r="B3" s="30" t="s">
        <v>75</v>
      </c>
      <c r="C3" s="30" t="s">
        <v>76</v>
      </c>
      <c r="D3" s="52" t="s">
        <v>77</v>
      </c>
      <c r="E3" s="30" t="s">
        <v>80</v>
      </c>
    </row>
    <row r="4" spans="1:5">
      <c r="A4" s="5">
        <v>4</v>
      </c>
      <c r="B4" s="30" t="s">
        <v>84</v>
      </c>
      <c r="C4" s="30" t="s">
        <v>87</v>
      </c>
      <c r="D4" s="52" t="s">
        <v>85</v>
      </c>
      <c r="E4" s="30" t="s">
        <v>86</v>
      </c>
    </row>
  </sheetData>
  <hyperlinks>
    <hyperlink ref="D2" r:id="rId1" xr:uid="{A7EEE913-DF71-444F-AAB5-A308A752C26F}"/>
    <hyperlink ref="D3" r:id="rId2" xr:uid="{38536CBC-AC28-4D29-8842-5B8D551A00EA}"/>
    <hyperlink ref="D4" r:id="rId3" xr:uid="{64D3A18B-1418-471A-866F-7E34A026C2AE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8B026-B2BB-42E6-92BD-5FB1DF741985}">
  <sheetPr codeName="Sheet3"/>
  <dimension ref="A1:K1"/>
  <sheetViews>
    <sheetView workbookViewId="0">
      <selection activeCell="B9" sqref="B9"/>
    </sheetView>
  </sheetViews>
  <sheetFormatPr defaultRowHeight="15"/>
  <cols>
    <col min="1" max="5" width="15" style="21" customWidth="1"/>
    <col min="6" max="6" width="19.5703125" style="21" customWidth="1"/>
    <col min="7" max="7" width="18.28515625" style="21" customWidth="1"/>
    <col min="8" max="12" width="15" style="21" customWidth="1"/>
    <col min="13" max="16384" width="9.140625" style="21"/>
  </cols>
  <sheetData>
    <row r="1" spans="1:11">
      <c r="A1" s="22" t="s">
        <v>40</v>
      </c>
      <c r="B1" s="22" t="s">
        <v>41</v>
      </c>
      <c r="C1" s="22" t="s">
        <v>46</v>
      </c>
      <c r="D1" s="22" t="s">
        <v>47</v>
      </c>
      <c r="E1" s="22" t="s">
        <v>42</v>
      </c>
      <c r="F1" s="22" t="s">
        <v>43</v>
      </c>
      <c r="G1" s="22" t="s">
        <v>44</v>
      </c>
      <c r="H1" s="22" t="s">
        <v>48</v>
      </c>
      <c r="I1" s="22" t="s">
        <v>61</v>
      </c>
      <c r="J1" s="22" t="s">
        <v>45</v>
      </c>
      <c r="K1" s="22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04CEE-9382-4A77-BC36-BECE5D36EEF7}">
  <sheetPr codeName="Sheet4"/>
  <dimension ref="A1:L5"/>
  <sheetViews>
    <sheetView workbookViewId="0">
      <selection activeCell="G12" sqref="G12"/>
    </sheetView>
  </sheetViews>
  <sheetFormatPr defaultRowHeight="15"/>
  <cols>
    <col min="1" max="1" width="8.85546875" style="32" bestFit="1" customWidth="1"/>
    <col min="2" max="2" width="21" style="33" customWidth="1"/>
    <col min="3" max="3" width="16" style="33" customWidth="1"/>
    <col min="4" max="5" width="34.7109375" style="33" bestFit="1" customWidth="1"/>
    <col min="6" max="6" width="13.140625" style="31" bestFit="1" customWidth="1"/>
    <col min="7" max="7" width="14.140625" style="31" bestFit="1" customWidth="1"/>
    <col min="8" max="8" width="7.5703125" style="31" bestFit="1" customWidth="1"/>
    <col min="9" max="9" width="9" style="31" bestFit="1" customWidth="1"/>
    <col min="10" max="10" width="17" style="21" customWidth="1"/>
    <col min="11" max="11" width="26" style="21" customWidth="1"/>
    <col min="12" max="12" width="15.85546875" style="32" bestFit="1" customWidth="1"/>
    <col min="13" max="16384" width="9.140625" style="21"/>
  </cols>
  <sheetData>
    <row r="1" spans="1:12">
      <c r="A1" s="32" t="s">
        <v>33</v>
      </c>
      <c r="B1" s="22" t="s">
        <v>18</v>
      </c>
      <c r="C1" s="22" t="s">
        <v>19</v>
      </c>
      <c r="D1" s="22" t="s">
        <v>20</v>
      </c>
      <c r="E1" s="22" t="s">
        <v>21</v>
      </c>
      <c r="F1" s="22" t="s">
        <v>22</v>
      </c>
      <c r="G1" s="22" t="s">
        <v>23</v>
      </c>
      <c r="H1" s="22" t="s">
        <v>24</v>
      </c>
      <c r="I1" s="22" t="s">
        <v>25</v>
      </c>
      <c r="J1" s="22" t="s">
        <v>26</v>
      </c>
      <c r="K1" s="22" t="s">
        <v>32</v>
      </c>
      <c r="L1" s="63" t="s">
        <v>74</v>
      </c>
    </row>
    <row r="2" spans="1:12" ht="30">
      <c r="A2" s="32">
        <v>1</v>
      </c>
      <c r="B2" s="33" t="s">
        <v>81</v>
      </c>
      <c r="C2" s="33" t="s">
        <v>37</v>
      </c>
      <c r="D2" s="33" t="s">
        <v>38</v>
      </c>
      <c r="E2" s="33" t="s">
        <v>39</v>
      </c>
      <c r="F2" s="31">
        <v>260</v>
      </c>
      <c r="G2" s="31">
        <v>200</v>
      </c>
      <c r="H2" s="31">
        <v>60</v>
      </c>
      <c r="I2" s="31">
        <v>200</v>
      </c>
      <c r="J2" s="21" t="s">
        <v>82</v>
      </c>
      <c r="K2" s="43" t="s">
        <v>83</v>
      </c>
      <c r="L2" s="32">
        <v>3</v>
      </c>
    </row>
    <row r="3" spans="1:12" ht="30">
      <c r="A3" s="32">
        <v>2</v>
      </c>
      <c r="B3" s="33" t="s">
        <v>88</v>
      </c>
      <c r="C3" s="33" t="s">
        <v>89</v>
      </c>
      <c r="D3" s="33" t="s">
        <v>90</v>
      </c>
      <c r="E3" s="33" t="s">
        <v>90</v>
      </c>
      <c r="F3" s="31">
        <v>22</v>
      </c>
      <c r="G3" s="31">
        <v>20</v>
      </c>
      <c r="H3" s="31">
        <v>2</v>
      </c>
      <c r="I3" s="31">
        <v>0</v>
      </c>
      <c r="J3" s="21" t="s">
        <v>91</v>
      </c>
      <c r="K3" s="43" t="s">
        <v>93</v>
      </c>
      <c r="L3" s="32">
        <v>2</v>
      </c>
    </row>
    <row r="4" spans="1:12">
      <c r="K4" s="43"/>
    </row>
    <row r="5" spans="1:12">
      <c r="K5" s="4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FED56-11BE-4945-A467-2C242E9A56C2}">
  <sheetPr codeName="Sheet5"/>
  <dimension ref="A1:H25"/>
  <sheetViews>
    <sheetView topLeftCell="A17" workbookViewId="0">
      <selection activeCell="B25" sqref="B25"/>
    </sheetView>
  </sheetViews>
  <sheetFormatPr defaultRowHeight="15"/>
  <cols>
    <col min="1" max="1" width="18.42578125" style="9" bestFit="1" customWidth="1"/>
    <col min="2" max="2" width="34" customWidth="1"/>
    <col min="3" max="3" width="10.7109375" bestFit="1" customWidth="1"/>
    <col min="4" max="4" width="13.140625" customWidth="1"/>
    <col min="5" max="5" width="37" customWidth="1"/>
    <col min="6" max="6" width="14.140625" customWidth="1"/>
    <col min="7" max="7" width="11.28515625" customWidth="1"/>
    <col min="8" max="8" width="16.7109375" customWidth="1"/>
  </cols>
  <sheetData>
    <row r="1" spans="1:8" ht="22.5" customHeight="1">
      <c r="A1" s="86" t="s">
        <v>34</v>
      </c>
      <c r="B1" s="87"/>
      <c r="C1" s="87"/>
      <c r="D1" s="87"/>
      <c r="E1" s="88"/>
      <c r="F1" t="s">
        <v>50</v>
      </c>
    </row>
    <row r="2" spans="1:8">
      <c r="A2" s="10"/>
      <c r="B2" s="11" t="s">
        <v>31</v>
      </c>
      <c r="C2" s="12" t="s">
        <v>27</v>
      </c>
      <c r="D2" s="12" t="s">
        <v>28</v>
      </c>
      <c r="E2" s="13" t="s">
        <v>29</v>
      </c>
      <c r="F2" t="s">
        <v>30</v>
      </c>
    </row>
    <row r="3" spans="1:8" ht="21">
      <c r="A3" s="38" t="s">
        <v>33</v>
      </c>
      <c r="B3" s="36">
        <f>D3</f>
        <v>3</v>
      </c>
      <c r="C3" s="36">
        <f>COUNTA(Orders!A:A)+1</f>
        <v>4</v>
      </c>
      <c r="D3" s="36">
        <f>C3-1</f>
        <v>3</v>
      </c>
      <c r="E3" s="37"/>
      <c r="F3" s="8" t="s">
        <v>53</v>
      </c>
      <c r="G3" s="8" t="s">
        <v>54</v>
      </c>
      <c r="H3" s="8" t="s">
        <v>74</v>
      </c>
    </row>
    <row r="4" spans="1:8" ht="35.25" customHeight="1">
      <c r="A4" s="38" t="s">
        <v>18</v>
      </c>
      <c r="B4" s="15" t="str">
        <f>IF($G$8&gt;0,E4,"")</f>
        <v/>
      </c>
      <c r="C4" s="7" t="str">
        <f>Place_order!C12 &amp; "," &amp; Place_order!C13&amp; "," &amp; Place_order!C14&amp; "," &amp; Place_order!C15&amp; "," &amp; Place_order!C16&amp; "," &amp; Place_order!C17&amp; "," &amp; Place_order!C18&amp; "," &amp; Place_order!C19&amp; "," &amp; Place_order!C20&amp; "," &amp; Place_order!C21&amp; "," &amp; Place_order!C22&amp; "," &amp; Place_order!C23&amp; "," &amp; Place_order!C24</f>
        <v>,,,,,,,,,,,,</v>
      </c>
      <c r="D4" s="7" t="str">
        <f>SUBSTITUTE(SUBSTITUTE(C4,",,,",",,"),",,",",")</f>
        <v>,,,,</v>
      </c>
      <c r="E4" s="14" t="str">
        <f>IF(RIGHT(D4,1)=",",
LEFT(D4,LEN(D4)-1), D4)</f>
        <v>,,,</v>
      </c>
      <c r="F4" s="35"/>
      <c r="G4" s="35">
        <v>1</v>
      </c>
      <c r="H4" s="35">
        <v>2</v>
      </c>
    </row>
    <row r="5" spans="1:8">
      <c r="A5" s="38" t="s">
        <v>19</v>
      </c>
      <c r="B5" s="15" t="str">
        <f>IF($G$8&gt;0,E5,"")</f>
        <v/>
      </c>
      <c r="C5" s="7" t="str">
        <f>Place_order!G12 &amp; "," &amp; Place_order!G13&amp; "," &amp; Place_order!G14&amp; "," &amp; Place_order!G15&amp; "," &amp; Place_order!G16&amp; "," &amp; Place_order!G17&amp; "," &amp; Place_order!G18&amp; "," &amp; Place_order!G19&amp; "," &amp; Place_order!G20&amp; "," &amp; Place_order!G21&amp; "," &amp; Place_order!G22&amp; "," &amp; Place_order!G23&amp; "," &amp; Place_order!G24</f>
        <v>,,,,,,,,,,,,</v>
      </c>
      <c r="D5" s="7" t="str">
        <f>SUBSTITUTE(SUBSTITUTE(C5,",,,",",,"),",,",",")</f>
        <v>,,,,</v>
      </c>
      <c r="E5" s="14" t="str">
        <f>IF(RIGHT(D5,1)=",",
LEFT(D5,LEN(D5)-1), D5)</f>
        <v>,,,</v>
      </c>
    </row>
    <row r="6" spans="1:8">
      <c r="A6" s="38" t="s">
        <v>20</v>
      </c>
      <c r="B6" s="15" t="str">
        <f>IF($G$8&gt;0,E6,"")</f>
        <v/>
      </c>
      <c r="C6" s="7" t="str">
        <f>Place_order!H12 &amp; "," &amp; Place_order!H13&amp; "," &amp; Place_order!H14&amp; "," &amp; Place_order!H15&amp; "," &amp; Place_order!H16&amp; "," &amp; Place_order!H17&amp; "," &amp; Place_order!H18&amp; "," &amp; Place_order!H19&amp; "," &amp; Place_order!H20&amp; "," &amp; Place_order!H21&amp; "," &amp; Place_order!H22&amp; "," &amp; Place_order!H23&amp; "," &amp; Place_order!H24</f>
        <v>,,,,,,,,,,,,</v>
      </c>
      <c r="D6" s="7" t="str">
        <f>SUBSTITUTE(SUBSTITUTE(C6,",,,",",,"),",,",",")</f>
        <v>,,,,</v>
      </c>
      <c r="E6" s="14" t="str">
        <f>IF(RIGHT(D6,1)=",",
LEFT(D6,LEN(D6)-1), D6)</f>
        <v>,,,</v>
      </c>
    </row>
    <row r="7" spans="1:8">
      <c r="A7" s="38" t="s">
        <v>21</v>
      </c>
      <c r="B7" s="15" t="str">
        <f>IF($G$8&gt;0,E7,"")</f>
        <v/>
      </c>
      <c r="C7" s="7" t="str">
        <f>Place_order!I12 &amp; "," &amp; Place_order!I13&amp; "," &amp; Place_order!I14&amp; "," &amp; Place_order!I15&amp; "," &amp; Place_order!I16&amp; "," &amp; Place_order!I17&amp; "," &amp; Place_order!I18&amp; "," &amp; Place_order!I19&amp; "," &amp; Place_order!I20&amp; "," &amp; Place_order!I21&amp; "," &amp; Place_order!I22&amp; "," &amp; Place_order!I23&amp; "," &amp; Place_order!I24</f>
        <v>,,,,,,,,,,,,</v>
      </c>
      <c r="D7" s="7" t="str">
        <f>SUBSTITUTE(SUBSTITUTE(C7,",,,",",,"),",,",",")</f>
        <v>,,,,</v>
      </c>
      <c r="E7" s="14" t="str">
        <f>IF(RIGHT(D7,1)=",",
LEFT(D7,LEN(D7)-1), D7)</f>
        <v>,,,</v>
      </c>
      <c r="F7" s="8" t="s">
        <v>52</v>
      </c>
      <c r="G7" t="str">
        <f>TRIM(SUBSTITUTE(C4,",",""))</f>
        <v/>
      </c>
      <c r="H7" t="s">
        <v>30</v>
      </c>
    </row>
    <row r="8" spans="1:8">
      <c r="A8" s="38" t="s">
        <v>22</v>
      </c>
      <c r="B8" s="16">
        <f>Place_order!I25</f>
        <v>0</v>
      </c>
      <c r="C8" s="7"/>
      <c r="D8" s="7"/>
      <c r="E8" s="14"/>
      <c r="F8" t="s">
        <v>51</v>
      </c>
      <c r="G8">
        <f>LEN(G7)</f>
        <v>0</v>
      </c>
    </row>
    <row r="9" spans="1:8">
      <c r="A9" s="38" t="s">
        <v>23</v>
      </c>
      <c r="B9" s="16">
        <f>Place_order!I26</f>
        <v>0</v>
      </c>
      <c r="C9" s="7"/>
      <c r="D9" s="7"/>
      <c r="E9" s="14"/>
      <c r="F9" t="s">
        <v>59</v>
      </c>
      <c r="G9" s="39">
        <f>D3</f>
        <v>3</v>
      </c>
    </row>
    <row r="10" spans="1:8">
      <c r="A10" s="38" t="s">
        <v>24</v>
      </c>
      <c r="B10" s="16">
        <f>Place_order!I27</f>
        <v>0</v>
      </c>
      <c r="C10" s="7"/>
      <c r="D10" s="7"/>
      <c r="E10" s="14"/>
      <c r="F10" t="s">
        <v>60</v>
      </c>
      <c r="G10" t="b">
        <v>0</v>
      </c>
    </row>
    <row r="11" spans="1:8">
      <c r="A11" s="38" t="s">
        <v>36</v>
      </c>
      <c r="B11" s="16">
        <f>Place_order!I28</f>
        <v>0</v>
      </c>
      <c r="C11" s="7"/>
      <c r="D11" s="7"/>
      <c r="E11" s="14"/>
      <c r="F11" t="s">
        <v>30</v>
      </c>
    </row>
    <row r="12" spans="1:8">
      <c r="A12" s="38" t="s">
        <v>26</v>
      </c>
      <c r="B12" s="17" t="str">
        <f>IF(LEN(Place_order!D33)&gt;0,REPT("C", LEN(Place_order!D33)),"") &amp;
IF(LEN(Place_order!D34)&gt;0,REPT("B", LEN(Place_order!D34)),"") &amp;
IF(LEN(Place_order!D35)&gt;0,REPT("R", LEN(Place_order!D35)),"") &amp;
IF(LEN(Place_order!D36)&gt;0,REPT("D", LEN(Place_order!D36)),"")</f>
        <v/>
      </c>
      <c r="C12" s="6"/>
      <c r="D12" s="6"/>
      <c r="E12" s="18" t="s">
        <v>50</v>
      </c>
      <c r="F12" t="s">
        <v>30</v>
      </c>
    </row>
    <row r="13" spans="1:8" ht="30.75" thickBot="1">
      <c r="A13" s="38" t="s">
        <v>35</v>
      </c>
      <c r="B13" s="34" t="s">
        <v>93</v>
      </c>
      <c r="C13" s="19"/>
      <c r="D13" s="19"/>
      <c r="E13" s="20"/>
      <c r="F13" t="s">
        <v>30</v>
      </c>
    </row>
    <row r="14" spans="1:8">
      <c r="A14" s="38" t="s">
        <v>73</v>
      </c>
      <c r="B14" s="62">
        <f>IF(LEN(Place_order!D4)&gt;0,Place_order!D4,"")</f>
        <v>3</v>
      </c>
      <c r="C14" s="7"/>
      <c r="D14" s="7"/>
      <c r="E14" s="14"/>
    </row>
    <row r="16" spans="1:8">
      <c r="A16" s="89" t="s">
        <v>64</v>
      </c>
      <c r="B16" s="89"/>
      <c r="C16" s="61" t="s">
        <v>72</v>
      </c>
      <c r="D16" s="61" t="s">
        <v>92</v>
      </c>
    </row>
    <row r="17" spans="1:3" ht="15.75" thickBot="1">
      <c r="A17" s="9" t="s">
        <v>65</v>
      </c>
      <c r="B17" s="54">
        <v>3</v>
      </c>
      <c r="C17" t="s">
        <v>63</v>
      </c>
    </row>
    <row r="18" spans="1:3">
      <c r="A18" s="55" t="s">
        <v>67</v>
      </c>
      <c r="B18" s="56">
        <f>IFERROR(VLOOKUP(Place_order!D4,Customers!$A:$A,1,0),0)</f>
        <v>3</v>
      </c>
    </row>
    <row r="19" spans="1:3">
      <c r="A19" s="57" t="s">
        <v>68</v>
      </c>
      <c r="B19" s="58" t="str">
        <f>IFERROR(VLOOKUP(SUBSTITUTE(Place_order!D8,"-",""),Customers!E:E,1,0),0)</f>
        <v>1212</v>
      </c>
    </row>
    <row r="20" spans="1:3">
      <c r="A20" s="57" t="s">
        <v>69</v>
      </c>
      <c r="B20" s="58" t="str">
        <f>IFERROR(VLOOKUP(SUBSTITUTE(Place_order!D7,"-",""),Customers!D:D,1,0),0)</f>
        <v>abdullah@gmail.com</v>
      </c>
    </row>
    <row r="21" spans="1:3" ht="15.75" thickBot="1">
      <c r="A21" s="59" t="s">
        <v>70</v>
      </c>
      <c r="B21" s="60" t="b">
        <f>IF(OR(B18&gt;0,B19&gt;0,B20&gt;0), TRUE,FALSE)</f>
        <v>1</v>
      </c>
    </row>
    <row r="22" spans="1:3">
      <c r="A22" s="9" t="s">
        <v>71</v>
      </c>
      <c r="B22" s="54">
        <f>COUNTA(Place_order!D4:F8)</f>
        <v>5</v>
      </c>
    </row>
    <row r="23" spans="1:3">
      <c r="B23" s="54"/>
    </row>
    <row r="25" spans="1:3" ht="60">
      <c r="A25" s="65" t="s">
        <v>95</v>
      </c>
      <c r="B25" s="35"/>
    </row>
  </sheetData>
  <mergeCells count="2">
    <mergeCell ref="A1:E1"/>
    <mergeCell ref="A16:B16"/>
  </mergeCells>
  <phoneticPr fontId="10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Place_order</vt:lpstr>
      <vt:lpstr>Customers</vt:lpstr>
      <vt:lpstr>Products</vt:lpstr>
      <vt:lpstr>Orders</vt:lpstr>
      <vt:lpstr>Controller</vt:lpstr>
      <vt:lpstr>found_in</vt:lpstr>
      <vt:lpstr>ok</vt:lpstr>
      <vt:lpstr>qqq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cp:lastPrinted>2020-11-25T14:04:11Z</cp:lastPrinted>
  <dcterms:created xsi:type="dcterms:W3CDTF">2020-11-22T04:34:53Z</dcterms:created>
  <dcterms:modified xsi:type="dcterms:W3CDTF">2020-11-27T09:45:09Z</dcterms:modified>
</cp:coreProperties>
</file>