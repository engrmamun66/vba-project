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_Projects\"/>
    </mc:Choice>
  </mc:AlternateContent>
  <xr:revisionPtr revIDLastSave="0" documentId="13_ncr:1_{88CF30FA-EFC8-4123-A76F-A2335E81B5A3}" xr6:coauthVersionLast="45" xr6:coauthVersionMax="45" xr10:uidLastSave="{00000000-0000-0000-0000-000000000000}"/>
  <bookViews>
    <workbookView showHorizontalScroll="0" showVerticalScroll="0" showSheetTabs="0" xWindow="20370" yWindow="-120" windowWidth="24240" windowHeight="13140" xr2:uid="{E5CB18B6-6F36-4248-9C8C-AF3D8BD23654}"/>
  </bookViews>
  <sheets>
    <sheet name="Sheet1" sheetId="1" r:id="rId1"/>
  </sheets>
  <definedNames>
    <definedName name="hr">Sheet1!$B$12</definedName>
    <definedName name="minut">Sheet1!$B$8</definedName>
    <definedName name="sec">Sheet1!$B$4</definedName>
    <definedName name="status">Sheet1!$E$2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7" i="1" l="1"/>
  <c r="C17" i="1" s="1"/>
  <c r="B16" i="1"/>
  <c r="C16" i="1" s="1"/>
  <c r="B18" i="1"/>
  <c r="C18" i="1" s="1"/>
  <c r="Q11" i="1"/>
  <c r="E13" i="1" l="1"/>
  <c r="D13" i="1"/>
  <c r="E9" i="1"/>
  <c r="D9" i="1"/>
  <c r="E5" i="1"/>
  <c r="D5" i="1"/>
</calcChain>
</file>

<file path=xl/sharedStrings.xml><?xml version="1.0" encoding="utf-8"?>
<sst xmlns="http://schemas.openxmlformats.org/spreadsheetml/2006/main" count="11" uniqueCount="11">
  <si>
    <t>Seconds</t>
  </si>
  <si>
    <t>angle</t>
  </si>
  <si>
    <t>Minute</t>
  </si>
  <si>
    <t>hour</t>
  </si>
  <si>
    <t>x</t>
  </si>
  <si>
    <t>y</t>
  </si>
  <si>
    <t>Len</t>
  </si>
  <si>
    <t>start</t>
  </si>
  <si>
    <t>Now_sec</t>
  </si>
  <si>
    <t>Now_Min</t>
  </si>
  <si>
    <t>Now_hr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</si>
</sst>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ss"/>
    <numFmt numFmtId="165" formatCode="mm"/>
    <numFmt numFmtId="166" formatCode="hh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applyFill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41275" cap="rnd">
              <a:solidFill>
                <a:schemeClr val="bg1">
                  <a:lumMod val="50000"/>
                </a:schemeClr>
              </a:solidFill>
              <a:round/>
              <a:headEnd type="oval"/>
              <a:tailEnd type="triangle"/>
            </a:ln>
            <a:effectLst/>
          </c:spPr>
          <c:marker>
            <c:symbol val="none"/>
          </c:marker>
          <c:xVal>
            <c:numRef>
              <c:f>Sheet1!$D$12:$D$13</c:f>
              <c:numCache>
                <c:formatCode>General</c:formatCode>
                <c:ptCount val="2"/>
                <c:pt idx="0">
                  <c:v>0</c:v>
                </c:pt>
                <c:pt idx="1">
                  <c:v>0.70534230275096776</c:v>
                </c:pt>
              </c:numCache>
            </c:numRef>
          </c:xVal>
          <c:yVal>
            <c:numRef>
              <c:f>Sheet1!$E$12:$E$13</c:f>
              <c:numCache>
                <c:formatCode>General</c:formatCode>
                <c:ptCount val="2"/>
                <c:pt idx="0">
                  <c:v>0</c:v>
                </c:pt>
                <c:pt idx="1">
                  <c:v>0.97082039324993685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22-4C53-8974-76465249D375}"/>
            </c:ext>
          </c:extLst>
        </c:ser>
        <c:ser>
          <c:idx val="1"/>
          <c:order val="1"/>
          <c:tx>
            <c:v>minute</c:v>
          </c:tx>
          <c:spPr>
            <a:ln w="28575" cap="rnd" cmpd="sng">
              <a:solidFill>
                <a:schemeClr val="accent6">
                  <a:lumMod val="75000"/>
                </a:schemeClr>
              </a:solidFill>
              <a:round/>
              <a:headEnd type="oval"/>
              <a:tailEnd type="triangle" w="lg" len="med"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Sheet1!$D$8:$D$9</c:f>
              <c:numCache>
                <c:formatCode>General</c:formatCode>
                <c:ptCount val="2"/>
                <c:pt idx="0">
                  <c:v>0</c:v>
                </c:pt>
                <c:pt idx="1">
                  <c:v>0.46352549156242107</c:v>
                </c:pt>
              </c:numCache>
            </c:numRef>
          </c:xVal>
          <c:yVal>
            <c:numRef>
              <c:f>Sheet1!$E$8:$E$9</c:f>
              <c:numCache>
                <c:formatCode>General</c:formatCode>
                <c:ptCount val="2"/>
                <c:pt idx="0">
                  <c:v>0</c:v>
                </c:pt>
                <c:pt idx="1">
                  <c:v>1.4265847744427302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22-4C53-8974-76465249D375}"/>
            </c:ext>
          </c:extLst>
        </c:ser>
        <c:ser>
          <c:idx val="2"/>
          <c:order val="2"/>
          <c:tx>
            <c:v>second</c:v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  <a:headEnd type="oval"/>
              <a:tailEnd type="triangle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Sheet1!$D$4:$D$5</c:f>
              <c:numCache>
                <c:formatCode>General</c:formatCode>
                <c:ptCount val="2"/>
                <c:pt idx="0">
                  <c:v>0</c:v>
                </c:pt>
                <c:pt idx="1">
                  <c:v>-1.5530272779924219</c:v>
                </c:pt>
              </c:numCache>
            </c:numRef>
          </c:xVal>
          <c:yVal>
            <c:numRef>
              <c:f>Sheet1!$E$4:$E$6</c:f>
              <c:numCache>
                <c:formatCode>General</c:formatCode>
                <c:ptCount val="3"/>
                <c:pt idx="0">
                  <c:v>0</c:v>
                </c:pt>
                <c:pt idx="1">
                  <c:v>0.69145229322885959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22-4C53-8974-76465249D3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043840"/>
        <c:axId val="715044496"/>
      </c:scatterChart>
      <c:valAx>
        <c:axId val="715043840"/>
        <c:scaling>
          <c:orientation val="minMax"/>
          <c:max val="2"/>
          <c:min val="-2"/>
        </c:scaling>
        <c:delete val="1"/>
        <c:axPos val="b"/>
        <c:numFmt formatCode="General" sourceLinked="1"/>
        <c:majorTickMark val="none"/>
        <c:minorTickMark val="none"/>
        <c:tickLblPos val="nextTo"/>
        <c:crossAx val="715044496"/>
        <c:crosses val="autoZero"/>
        <c:crossBetween val="midCat"/>
      </c:valAx>
      <c:valAx>
        <c:axId val="715044496"/>
        <c:scaling>
          <c:orientation val="minMax"/>
          <c:max val="2"/>
          <c:min val="-2"/>
        </c:scaling>
        <c:delete val="1"/>
        <c:axPos val="l"/>
        <c:numFmt formatCode="General" sourceLinked="1"/>
        <c:majorTickMark val="none"/>
        <c:minorTickMark val="none"/>
        <c:tickLblPos val="nextTo"/>
        <c:crossAx val="71504384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hour</c:v>
          </c:tx>
          <c:spPr>
            <a:ln w="41275" cap="rnd">
              <a:solidFill>
                <a:schemeClr val="bg1">
                  <a:lumMod val="50000"/>
                </a:schemeClr>
              </a:solidFill>
              <a:round/>
              <a:headEnd type="oval"/>
              <a:tailEnd type="triangle"/>
            </a:ln>
            <a:effectLst/>
          </c:spPr>
          <c:marker>
            <c:symbol val="none"/>
          </c:marker>
          <c:xVal>
            <c:numRef>
              <c:f>Sheet1!$D$12:$D$13</c:f>
              <c:numCache>
                <c:formatCode>General</c:formatCode>
                <c:ptCount val="2"/>
                <c:pt idx="0">
                  <c:v>0</c:v>
                </c:pt>
                <c:pt idx="1">
                  <c:v>0.70534230275096776</c:v>
                </c:pt>
              </c:numCache>
            </c:numRef>
          </c:xVal>
          <c:yVal>
            <c:numRef>
              <c:f>Sheet1!$E$12:$E$13</c:f>
              <c:numCache>
                <c:formatCode>General</c:formatCode>
                <c:ptCount val="2"/>
                <c:pt idx="0">
                  <c:v>0</c:v>
                </c:pt>
                <c:pt idx="1">
                  <c:v>0.97082039324993685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A1-41A3-A0A4-207FF0304763}"/>
            </c:ext>
          </c:extLst>
        </c:ser>
        <c:ser>
          <c:idx val="1"/>
          <c:order val="1"/>
          <c:tx>
            <c:v>minute</c:v>
          </c:tx>
          <c:spPr>
            <a:ln w="28575" cap="rnd" cmpd="sng">
              <a:solidFill>
                <a:schemeClr val="accent6">
                  <a:lumMod val="75000"/>
                </a:schemeClr>
              </a:solidFill>
              <a:round/>
              <a:headEnd type="oval"/>
              <a:tailEnd type="triangle" w="lg" len="med"/>
            </a:ln>
            <a:effectLst>
              <a:outerShdw blurRad="50800" dist="38100" dir="8100000" algn="tr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Sheet1!$D$8:$D$9</c:f>
              <c:numCache>
                <c:formatCode>General</c:formatCode>
                <c:ptCount val="2"/>
                <c:pt idx="0">
                  <c:v>0</c:v>
                </c:pt>
                <c:pt idx="1">
                  <c:v>0.46352549156242107</c:v>
                </c:pt>
              </c:numCache>
            </c:numRef>
          </c:xVal>
          <c:yVal>
            <c:numRef>
              <c:f>Sheet1!$E$8:$E$9</c:f>
              <c:numCache>
                <c:formatCode>General</c:formatCode>
                <c:ptCount val="2"/>
                <c:pt idx="0">
                  <c:v>0</c:v>
                </c:pt>
                <c:pt idx="1">
                  <c:v>1.4265847744427302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5A1-41A3-A0A4-207FF0304763}"/>
            </c:ext>
          </c:extLst>
        </c:ser>
        <c:ser>
          <c:idx val="2"/>
          <c:order val="2"/>
          <c:tx>
            <c:v>second</c:v>
          </c:tx>
          <c:spPr>
            <a:ln w="19050" cap="rnd">
              <a:solidFill>
                <a:schemeClr val="accent2">
                  <a:lumMod val="75000"/>
                </a:schemeClr>
              </a:solidFill>
              <a:round/>
              <a:headEnd type="oval"/>
              <a:tailEnd type="triangle"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Sheet1!$D$4:$D$5</c:f>
              <c:numCache>
                <c:formatCode>General</c:formatCode>
                <c:ptCount val="2"/>
                <c:pt idx="0">
                  <c:v>0</c:v>
                </c:pt>
                <c:pt idx="1">
                  <c:v>-1.5530272779924219</c:v>
                </c:pt>
              </c:numCache>
            </c:numRef>
          </c:xVal>
          <c:yVal>
            <c:numRef>
              <c:f>Sheet1!$E$4:$E$6</c:f>
              <c:numCache>
                <c:formatCode>General</c:formatCode>
                <c:ptCount val="3"/>
                <c:pt idx="0">
                  <c:v>0</c:v>
                </c:pt>
                <c:pt idx="1">
                  <c:v>0.69145229322885959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5A1-41A3-A0A4-207FF0304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043840"/>
        <c:axId val="715044496"/>
      </c:scatterChart>
      <c:valAx>
        <c:axId val="715043840"/>
        <c:scaling>
          <c:orientation val="minMax"/>
          <c:max val="2"/>
          <c:min val="-2"/>
        </c:scaling>
        <c:delete val="1"/>
        <c:axPos val="b"/>
        <c:numFmt formatCode="General" sourceLinked="1"/>
        <c:majorTickMark val="none"/>
        <c:minorTickMark val="none"/>
        <c:tickLblPos val="nextTo"/>
        <c:crossAx val="715044496"/>
        <c:crosses val="autoZero"/>
        <c:crossBetween val="midCat"/>
      </c:valAx>
      <c:valAx>
        <c:axId val="715044496"/>
        <c:scaling>
          <c:orientation val="minMax"/>
          <c:max val="2"/>
          <c:min val="-2"/>
        </c:scaling>
        <c:delete val="1"/>
        <c:axPos val="l"/>
        <c:numFmt formatCode="General" sourceLinked="1"/>
        <c:majorTickMark val="none"/>
        <c:minorTickMark val="none"/>
        <c:tickLblPos val="nextTo"/>
        <c:crossAx val="71504384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257176</xdr:colOff>
      <xdr:row>4</xdr:row>
      <xdr:rowOff>47625</xdr:rowOff>
    </xdr:from>
    <xdr:to>
      <xdr:col>9</xdr:col>
      <xdr:colOff>545466</xdr:colOff>
      <xdr:row>15</xdr:row>
      <xdr:rowOff>69215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14D5028-3696-4002-A9E5-D9B6E0F2C4FA}"/>
            </a:ext>
          </a:extLst>
        </xdr:cNvPr>
        <xdr:cNvGrpSpPr/>
      </xdr:nvGrpSpPr>
      <xdr:grpSpPr>
        <a:xfrm>
          <a:off x="4295776" y="809625"/>
          <a:ext cx="2117090" cy="2117090"/>
          <a:chOff x="4419601" y="1133475"/>
          <a:chExt cx="2117090" cy="2117090"/>
        </a:xfrm>
      </xdr:grpSpPr>
      <xdr:graphicFrame macro="">
        <xdr:nvGraphicFramePr>
          <xdr:cNvPr id="2" name="clock_chart">
            <a:extLst>
              <a:ext uri="{FF2B5EF4-FFF2-40B4-BE49-F238E27FC236}">
                <a16:creationId xmlns:a16="http://schemas.microsoft.com/office/drawing/2014/main" id="{5B52691A-F72A-42AF-B1CE-D69DBECEE5F9}"/>
              </a:ext>
            </a:extLst>
          </xdr:cNvPr>
          <xdr:cNvGraphicFramePr/>
        </xdr:nvGraphicFramePr>
        <xdr:xfrm>
          <a:off x="4429125" y="1143000"/>
          <a:ext cx="2095500" cy="2095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57C67C8-3B5B-4FD0-A2E9-0B7F91688B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19601" y="1133475"/>
            <a:ext cx="2117090" cy="211709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204788</xdr:colOff>
      <xdr:row>4</xdr:row>
      <xdr:rowOff>4763</xdr:rowOff>
    </xdr:from>
    <xdr:to>
      <xdr:col>13</xdr:col>
      <xdr:colOff>261937</xdr:colOff>
      <xdr:row>5</xdr:row>
      <xdr:rowOff>90488</xdr:rowOff>
    </xdr:to>
    <xdr:sp macro="[0]!start_" textlink="">
      <xdr:nvSpPr>
        <xdr:cNvPr id="7" name="start" hidden="1">
          <a:extLst>
            <a:ext uri="{FF2B5EF4-FFF2-40B4-BE49-F238E27FC236}">
              <a16:creationId xmlns:a16="http://schemas.microsoft.com/office/drawing/2014/main" id="{4F399CA1-02BE-4104-B992-DE20BD05EB17}"/>
            </a:ext>
          </a:extLst>
        </xdr:cNvPr>
        <xdr:cNvSpPr/>
      </xdr:nvSpPr>
      <xdr:spPr>
        <a:xfrm>
          <a:off x="7519988" y="766763"/>
          <a:ext cx="666749" cy="276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</a:t>
          </a:r>
        </a:p>
      </xdr:txBody>
    </xdr:sp>
    <xdr:clientData/>
  </xdr:twoCellAnchor>
  <xdr:twoCellAnchor>
    <xdr:from>
      <xdr:col>12</xdr:col>
      <xdr:colOff>204788</xdr:colOff>
      <xdr:row>4</xdr:row>
      <xdr:rowOff>4763</xdr:rowOff>
    </xdr:from>
    <xdr:to>
      <xdr:col>13</xdr:col>
      <xdr:colOff>261937</xdr:colOff>
      <xdr:row>5</xdr:row>
      <xdr:rowOff>90488</xdr:rowOff>
    </xdr:to>
    <xdr:sp macro="[0]!stop_" textlink="">
      <xdr:nvSpPr>
        <xdr:cNvPr id="8" name="stop">
          <a:extLst>
            <a:ext uri="{FF2B5EF4-FFF2-40B4-BE49-F238E27FC236}">
              <a16:creationId xmlns:a16="http://schemas.microsoft.com/office/drawing/2014/main" id="{43DB89F7-B643-4AC7-BA7B-21BE11159B88}"/>
            </a:ext>
          </a:extLst>
        </xdr:cNvPr>
        <xdr:cNvSpPr/>
      </xdr:nvSpPr>
      <xdr:spPr>
        <a:xfrm>
          <a:off x="7519988" y="766763"/>
          <a:ext cx="666749" cy="276225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STOP</a:t>
          </a:r>
        </a:p>
      </xdr:txBody>
    </xdr:sp>
    <xdr:clientData/>
  </xdr:twoCellAnchor>
  <xdr:twoCellAnchor>
    <xdr:from>
      <xdr:col>12</xdr:col>
      <xdr:colOff>214313</xdr:colOff>
      <xdr:row>5</xdr:row>
      <xdr:rowOff>176213</xdr:rowOff>
    </xdr:from>
    <xdr:to>
      <xdr:col>13</xdr:col>
      <xdr:colOff>271462</xdr:colOff>
      <xdr:row>7</xdr:row>
      <xdr:rowOff>71438</xdr:rowOff>
    </xdr:to>
    <xdr:sp macro="[0]!start_" textlink="">
      <xdr:nvSpPr>
        <xdr:cNvPr id="9" name="now">
          <a:extLst>
            <a:ext uri="{FF2B5EF4-FFF2-40B4-BE49-F238E27FC236}">
              <a16:creationId xmlns:a16="http://schemas.microsoft.com/office/drawing/2014/main" id="{CBE89DD3-B5EA-4AE5-AC06-3FF1C2358DC3}"/>
            </a:ext>
          </a:extLst>
        </xdr:cNvPr>
        <xdr:cNvSpPr/>
      </xdr:nvSpPr>
      <xdr:spPr>
        <a:xfrm>
          <a:off x="7529513" y="1128713"/>
          <a:ext cx="666749" cy="276225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Now</a:t>
          </a:r>
        </a:p>
      </xdr:txBody>
    </xdr:sp>
    <xdr:clientData/>
  </xdr:twoCellAnchor>
  <xdr:twoCellAnchor>
    <xdr:from>
      <xdr:col>10</xdr:col>
      <xdr:colOff>114301</xdr:colOff>
      <xdr:row>12</xdr:row>
      <xdr:rowOff>180975</xdr:rowOff>
    </xdr:from>
    <xdr:to>
      <xdr:col>13</xdr:col>
      <xdr:colOff>402591</xdr:colOff>
      <xdr:row>24</xdr:row>
      <xdr:rowOff>12065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EB5F137F-87A6-465A-AA2E-3E2953597F9A}"/>
            </a:ext>
          </a:extLst>
        </xdr:cNvPr>
        <xdr:cNvGrpSpPr/>
      </xdr:nvGrpSpPr>
      <xdr:grpSpPr>
        <a:xfrm>
          <a:off x="6591301" y="2466975"/>
          <a:ext cx="2117090" cy="2117090"/>
          <a:chOff x="4419601" y="1133475"/>
          <a:chExt cx="2117090" cy="2117090"/>
        </a:xfrm>
      </xdr:grpSpPr>
      <xdr:graphicFrame macro="">
        <xdr:nvGraphicFramePr>
          <xdr:cNvPr id="11" name="clock_chart">
            <a:extLst>
              <a:ext uri="{FF2B5EF4-FFF2-40B4-BE49-F238E27FC236}">
                <a16:creationId xmlns:a16="http://schemas.microsoft.com/office/drawing/2014/main" id="{98DD2666-0113-48F4-B0BA-4745D31DFDA9}"/>
              </a:ext>
            </a:extLst>
          </xdr:cNvPr>
          <xdr:cNvGraphicFramePr/>
        </xdr:nvGraphicFramePr>
        <xdr:xfrm>
          <a:off x="4429125" y="1143000"/>
          <a:ext cx="2095500" cy="2095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49FEC61C-7AE8-4E17-83F0-E4EBE42A22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19601" y="1133475"/>
            <a:ext cx="2117090" cy="211709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E33BD-DC34-4A64-9F66-F5842FFAA008}">
  <sheetPr codeName="Sheet1"/>
  <dimension ref="A2:Q25"/>
  <sheetViews>
    <sheetView tabSelected="1" topLeftCell="B1" workbookViewId="0">
      <selection activeCell="T8" sqref="T8"/>
    </sheetView>
  </sheetViews>
  <sheetFormatPr defaultRowHeight="15" x14ac:dyDescent="0.25"/>
  <cols>
    <col min="2" max="2" width="14.85546875" bestFit="1" customWidth="1"/>
  </cols>
  <sheetData>
    <row r="2" spans="1:17" x14ac:dyDescent="0.25">
      <c r="E2" s="7" t="s">
        <v>7</v>
      </c>
    </row>
    <row r="3" spans="1:17" x14ac:dyDescent="0.25">
      <c r="B3" s="1" t="s">
        <v>1</v>
      </c>
      <c r="C3" s="2" t="s">
        <v>6</v>
      </c>
      <c r="D3" s="2" t="s">
        <v>4</v>
      </c>
      <c r="E3" s="2" t="s">
        <v>5</v>
      </c>
    </row>
    <row r="4" spans="1:17" x14ac:dyDescent="0.25">
      <c r="A4" s="1" t="s">
        <v>0</v>
      </c>
      <c r="B4">
        <v>294</v>
      </c>
      <c r="C4">
        <v>1.7</v>
      </c>
      <c r="D4">
        <v>0</v>
      </c>
      <c r="E4">
        <v>0</v>
      </c>
      <c r="G4" s="3"/>
      <c r="H4" s="3"/>
      <c r="I4" s="3"/>
      <c r="J4" s="3"/>
      <c r="K4" s="3"/>
      <c r="L4" s="3"/>
      <c r="M4" s="3"/>
      <c r="N4" s="3"/>
    </row>
    <row r="5" spans="1:17" x14ac:dyDescent="0.25">
      <c r="D5" s="1">
        <f>SIN(RADIANS(B4))*C4</f>
        <v>-1.5530272779924219</v>
      </c>
      <c r="E5" s="1">
        <f>COS(RADIANS(B4))*C4</f>
        <v>0.69145229322885959</v>
      </c>
      <c r="G5" s="3"/>
      <c r="H5" s="3"/>
      <c r="I5" s="3"/>
      <c r="J5" s="3"/>
      <c r="K5" s="3"/>
      <c r="L5" s="3"/>
      <c r="M5" s="3"/>
      <c r="N5" s="3"/>
    </row>
    <row r="6" spans="1:17" x14ac:dyDescent="0.25">
      <c r="G6" s="3"/>
      <c r="H6" s="3"/>
      <c r="I6" s="3"/>
      <c r="J6" s="3"/>
      <c r="K6" s="3"/>
      <c r="L6" s="3"/>
      <c r="M6" s="3"/>
      <c r="N6" s="3"/>
    </row>
    <row r="7" spans="1:17" x14ac:dyDescent="0.25">
      <c r="G7" s="3"/>
      <c r="H7" s="3"/>
      <c r="I7" s="3"/>
      <c r="J7" s="3"/>
      <c r="K7" s="3"/>
      <c r="L7" s="3"/>
      <c r="M7" s="3"/>
      <c r="N7" s="3"/>
    </row>
    <row r="8" spans="1:17" x14ac:dyDescent="0.25">
      <c r="A8" s="1" t="s">
        <v>2</v>
      </c>
      <c r="B8">
        <v>18</v>
      </c>
      <c r="C8">
        <v>1.5</v>
      </c>
      <c r="D8">
        <v>0</v>
      </c>
      <c r="E8">
        <v>0</v>
      </c>
      <c r="G8" s="3"/>
      <c r="H8" s="3"/>
      <c r="I8" s="3"/>
      <c r="J8" s="3"/>
      <c r="K8" s="3"/>
      <c r="L8" s="3"/>
      <c r="M8" s="3"/>
      <c r="N8" s="3"/>
    </row>
    <row r="9" spans="1:17" x14ac:dyDescent="0.25">
      <c r="D9" s="1">
        <f>SIN(RADIANS(B8))*C8</f>
        <v>0.46352549156242107</v>
      </c>
      <c r="E9" s="1">
        <f>COS(RADIANS(B8))*C8</f>
        <v>1.4265847744427302</v>
      </c>
      <c r="G9" s="3"/>
      <c r="H9" s="3"/>
      <c r="I9" s="3"/>
      <c r="J9" s="3"/>
      <c r="K9" s="3"/>
      <c r="L9" s="3"/>
      <c r="M9" s="3"/>
      <c r="N9" s="3"/>
    </row>
    <row r="10" spans="1:17" x14ac:dyDescent="0.25">
      <c r="G10" s="3"/>
      <c r="H10" s="3"/>
      <c r="I10" s="3"/>
      <c r="J10" s="3"/>
      <c r="K10" s="3"/>
      <c r="L10" s="3"/>
      <c r="M10" s="3"/>
      <c r="N10" s="3"/>
    </row>
    <row r="11" spans="1:17" x14ac:dyDescent="0.25">
      <c r="G11" s="3"/>
      <c r="H11" s="3"/>
      <c r="I11" s="3"/>
      <c r="J11" s="3"/>
      <c r="K11" s="3"/>
      <c r="L11" s="3"/>
      <c r="M11" s="3"/>
      <c r="N11" s="3"/>
      <c r="Q11">
        <f>360/3</f>
        <v>120</v>
      </c>
    </row>
    <row r="12" spans="1:17" x14ac:dyDescent="0.25">
      <c r="A12" s="1" t="s">
        <v>3</v>
      </c>
      <c r="B12">
        <v>36</v>
      </c>
      <c r="C12">
        <v>1.2</v>
      </c>
      <c r="D12">
        <v>0</v>
      </c>
      <c r="E12">
        <v>0</v>
      </c>
      <c r="G12" s="3"/>
      <c r="H12" s="3"/>
      <c r="I12" s="3"/>
      <c r="J12" s="3"/>
      <c r="K12" s="3"/>
      <c r="L12" s="3"/>
      <c r="M12" s="3"/>
      <c r="N12" s="3"/>
    </row>
    <row r="13" spans="1:17" x14ac:dyDescent="0.25">
      <c r="D13" s="1">
        <f>SIN(RADIANS(B12))*C12</f>
        <v>0.70534230275096776</v>
      </c>
      <c r="E13" s="1">
        <f>COS(RADIANS(B12))*C12</f>
        <v>0.97082039324993685</v>
      </c>
      <c r="G13" s="3"/>
      <c r="H13" s="3"/>
      <c r="I13" s="3"/>
      <c r="J13" s="3"/>
      <c r="K13" s="3"/>
      <c r="L13" s="3"/>
      <c r="M13" s="3"/>
      <c r="N13" s="3"/>
    </row>
    <row r="14" spans="1:17" x14ac:dyDescent="0.25">
      <c r="G14" s="3"/>
      <c r="H14" s="3"/>
      <c r="I14" s="3"/>
      <c r="J14" s="3"/>
      <c r="K14" s="3"/>
      <c r="L14" s="3"/>
      <c r="M14" s="3"/>
      <c r="N14" s="3"/>
    </row>
    <row r="15" spans="1:17" x14ac:dyDescent="0.25">
      <c r="C15">
        <v>360</v>
      </c>
      <c r="G15" s="3"/>
      <c r="H15" s="3"/>
      <c r="I15" s="3"/>
      <c r="J15" s="3"/>
      <c r="K15" s="3"/>
      <c r="L15" s="3"/>
      <c r="M15" s="3"/>
      <c r="N15" s="3"/>
    </row>
    <row r="16" spans="1:17" x14ac:dyDescent="0.25">
      <c r="A16" t="s">
        <v>8</v>
      </c>
      <c r="B16" s="4" t="str">
        <f ca="1">--NOW() &amp; ""</f>
        <v>43949.6917868056</v>
      </c>
      <c r="C16" s="4">
        <f ca="1">B16*6</f>
        <v>263698.15072083357</v>
      </c>
      <c r="G16" s="3"/>
      <c r="H16" s="3"/>
      <c r="I16" s="3"/>
      <c r="J16" s="3"/>
      <c r="K16" s="3"/>
      <c r="L16" s="3"/>
      <c r="M16" s="3"/>
      <c r="N16" s="3"/>
    </row>
    <row r="17" spans="1:14" x14ac:dyDescent="0.25">
      <c r="A17" t="s">
        <v>9</v>
      </c>
      <c r="B17" s="5">
        <f ca="1">--NOW()</f>
        <v>43949.691786805553</v>
      </c>
      <c r="C17" s="5">
        <f ca="1">B17 *6</f>
        <v>263698.15072083334</v>
      </c>
      <c r="G17" s="3"/>
      <c r="H17" s="3"/>
      <c r="I17" s="3"/>
      <c r="J17" s="3"/>
      <c r="K17" s="3"/>
      <c r="L17" s="3"/>
      <c r="M17" s="3"/>
      <c r="N17" s="3"/>
    </row>
    <row r="18" spans="1:14" x14ac:dyDescent="0.25">
      <c r="A18" t="s">
        <v>10</v>
      </c>
      <c r="B18" s="6">
        <f ca="1">--NOW()</f>
        <v>43949.691786805553</v>
      </c>
      <c r="C18" s="5">
        <f ca="1">B18 *6</f>
        <v>263698.15072083334</v>
      </c>
      <c r="G18" s="3"/>
      <c r="H18" s="3"/>
      <c r="I18" s="3"/>
      <c r="J18" s="3"/>
      <c r="K18" s="3"/>
      <c r="L18" s="3"/>
      <c r="M18" s="3"/>
      <c r="N18" s="3"/>
    </row>
    <row r="19" spans="1:14" x14ac:dyDescent="0.25">
      <c r="G19" s="3"/>
      <c r="H19" s="3"/>
      <c r="I19" s="3"/>
      <c r="J19" s="3"/>
      <c r="K19" s="3"/>
      <c r="L19" s="3"/>
      <c r="M19" s="3"/>
      <c r="N19" s="3"/>
    </row>
    <row r="20" spans="1:14" x14ac:dyDescent="0.25">
      <c r="G20" s="3"/>
      <c r="H20" s="3"/>
      <c r="I20" s="3"/>
      <c r="J20" s="3"/>
      <c r="K20" s="3"/>
      <c r="L20" s="3"/>
      <c r="M20" s="3"/>
      <c r="N20" s="3"/>
    </row>
    <row r="21" spans="1:14" x14ac:dyDescent="0.25">
      <c r="G21" s="3"/>
      <c r="H21" s="3"/>
      <c r="I21" s="3"/>
      <c r="J21" s="3"/>
      <c r="K21" s="3"/>
      <c r="L21" s="3"/>
      <c r="M21" s="3"/>
      <c r="N21" s="3"/>
    </row>
    <row r="22" spans="1:14" x14ac:dyDescent="0.25">
      <c r="G22" s="3"/>
      <c r="H22" s="3"/>
      <c r="I22" s="3"/>
      <c r="J22" s="3"/>
      <c r="K22" s="3"/>
      <c r="L22" s="3"/>
      <c r="M22" s="3"/>
      <c r="N22" s="3"/>
    </row>
    <row r="23" spans="1:14" x14ac:dyDescent="0.25">
      <c r="G23" s="3"/>
      <c r="H23" s="3"/>
      <c r="I23" s="3"/>
      <c r="J23" s="3"/>
      <c r="K23" s="3"/>
      <c r="L23" s="3"/>
      <c r="M23" s="3"/>
      <c r="N23" s="3"/>
    </row>
    <row r="24" spans="1:14" x14ac:dyDescent="0.25">
      <c r="G24" s="3"/>
      <c r="H24" s="3"/>
      <c r="I24" s="3"/>
      <c r="J24" s="3"/>
      <c r="K24" s="3"/>
      <c r="L24" s="3"/>
      <c r="M24" s="3"/>
      <c r="N24" s="3"/>
    </row>
    <row r="25" spans="1:14" x14ac:dyDescent="0.25">
      <c r="G25" s="3"/>
      <c r="H25" s="3"/>
      <c r="I25" s="3"/>
      <c r="J25" s="3"/>
      <c r="K25" s="3"/>
      <c r="L25" s="3"/>
      <c r="M25" s="3"/>
      <c r="N25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5" baseType="lpstr">
      <vt:lpstr>Sheet1</vt:lpstr>
      <vt:lpstr>hr</vt:lpstr>
      <vt:lpstr>minut</vt:lpstr>
      <vt:lpstr>sec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dcterms:created xsi:type="dcterms:W3CDTF">2020-04-28T07:29:35Z</dcterms:created>
  <dcterms:modified xsi:type="dcterms:W3CDTF">2020-04-28T10:36:10Z</dcterms:modified>
</cp:coreProperties>
</file>