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_Projects\"/>
    </mc:Choice>
  </mc:AlternateContent>
  <xr:revisionPtr revIDLastSave="0" documentId="13_ncr:1_{F750EAD6-6034-46B1-9081-C07871426A12}" xr6:coauthVersionLast="45" xr6:coauthVersionMax="45" xr10:uidLastSave="{00000000-0000-0000-0000-000000000000}"/>
  <bookViews>
    <workbookView showHorizontalScroll="0" showVerticalScroll="0" showSheetTabs="0" xWindow="20535" yWindow="0" windowWidth="12420" windowHeight="12870" xr2:uid="{FD742A63-7F1E-40E2-B99A-8F9ABF71F4A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6" i="1" l="1"/>
  <c r="K45" i="1" s="1"/>
  <c r="J46" i="1"/>
  <c r="J45" i="1" s="1"/>
  <c r="I46" i="1"/>
  <c r="I45" i="1" s="1"/>
  <c r="I26" i="1" l="1"/>
  <c r="I29" i="1" s="1"/>
  <c r="L31" i="1" s="1"/>
  <c r="N19" i="1"/>
  <c r="K1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Mamun</author>
  </authors>
  <commentList>
    <comment ref="I29" authorId="0" shapeId="0" xr:uid="{4FE8F7A8-C703-49AB-8E88-28CB818A4BE3}">
      <text>
        <r>
          <rPr>
            <b/>
            <sz val="9"/>
            <color indexed="81"/>
            <rFont val="Tahoma"/>
            <family val="2"/>
          </rPr>
          <t>Mamun:</t>
        </r>
        <r>
          <rPr>
            <sz val="9"/>
            <color indexed="81"/>
            <rFont val="Tahoma"/>
            <family val="2"/>
          </rPr>
          <t xml:space="preserve">
=IF(AND(I26&gt;0,I26&gt;180),-(180-(I26-180)),"sf")</t>
        </r>
      </text>
    </comment>
  </commentList>
</comments>
</file>

<file path=xl/sharedStrings.xml><?xml version="1.0" encoding="utf-8"?>
<sst xmlns="http://schemas.openxmlformats.org/spreadsheetml/2006/main" count="14" uniqueCount="12">
  <si>
    <t>Degre</t>
  </si>
  <si>
    <t>Stop</t>
  </si>
  <si>
    <t>Percet %</t>
  </si>
  <si>
    <t>Degre Claculate</t>
  </si>
  <si>
    <t>%</t>
  </si>
  <si>
    <t>Start</t>
  </si>
  <si>
    <t>Step</t>
  </si>
  <si>
    <t>Second</t>
  </si>
  <si>
    <t>Degree</t>
  </si>
  <si>
    <t>Final Degree</t>
  </si>
  <si>
    <t>Minute</t>
  </si>
  <si>
    <t>Houre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</si>
</sst>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0" fontId="0" fillId="3" borderId="0" xfId="0" applyFont="1" applyFill="1" applyBorder="1"/>
    <xf numFmtId="0" fontId="0" fillId="3" borderId="5" xfId="0" applyFont="1" applyFill="1" applyBorder="1"/>
    <xf numFmtId="0" fontId="0" fillId="3" borderId="0" xfId="0" applyFont="1" applyFill="1" applyBorder="1" applyAlignment="1">
      <alignment horizontal="center"/>
    </xf>
    <xf numFmtId="0" fontId="0" fillId="3" borderId="6" xfId="0" applyFont="1" applyFill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0" xfId="0" applyFont="1" applyFill="1" applyBorder="1" applyAlignment="1">
      <alignment horizontal="right"/>
    </xf>
    <xf numFmtId="1" fontId="0" fillId="3" borderId="0" xfId="0" applyNumberFormat="1" applyFont="1" applyFill="1" applyBorder="1" applyAlignment="1">
      <alignment horizontal="right"/>
    </xf>
    <xf numFmtId="0" fontId="3" fillId="3" borderId="0" xfId="0" applyFont="1" applyFill="1" applyBorder="1" applyAlignment="1">
      <alignment horizontal="left" vertical="top"/>
    </xf>
    <xf numFmtId="2" fontId="0" fillId="3" borderId="0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3" borderId="0" xfId="0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0" fontId="0" fillId="4" borderId="0" xfId="0" applyFont="1" applyFill="1" applyBorder="1"/>
    <xf numFmtId="0" fontId="0" fillId="4" borderId="9" xfId="0" applyFont="1" applyFill="1" applyBorder="1"/>
    <xf numFmtId="0" fontId="0" fillId="4" borderId="9" xfId="0" applyFont="1" applyFill="1" applyBorder="1" applyAlignment="1">
      <alignment horizontal="center"/>
    </xf>
    <xf numFmtId="0" fontId="0" fillId="5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I$14" max="20" page="10" val="6"/>
</file>

<file path=xl/ctrlProps/ctrlProp2.xml><?xml version="1.0" encoding="utf-8"?>
<formControlPr xmlns="http://schemas.microsoft.com/office/spreadsheetml/2009/9/main" objectType="Spin" dx="22" fmlaLink="$K$14" max="20" min="1" page="10" val="2"/>
</file>

<file path=xl/ctrlProps/ctrlProp3.xml><?xml version="1.0" encoding="utf-8"?>
<formControlPr xmlns="http://schemas.microsoft.com/office/spreadsheetml/2009/9/main" objectType="Spin" dx="22" fmlaLink="$I$27" inc="5" max="100" page="10" val="30"/>
</file>

<file path=xl/ctrlProps/ctrlProp4.xml><?xml version="1.0" encoding="utf-8"?>
<formControlPr xmlns="http://schemas.microsoft.com/office/spreadsheetml/2009/9/main" objectType="Spin" dx="22" fmlaLink="$I$47" max="60" page="10" val="4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11</xdr:row>
          <xdr:rowOff>85725</xdr:rowOff>
        </xdr:from>
        <xdr:to>
          <xdr:col>10</xdr:col>
          <xdr:colOff>0</xdr:colOff>
          <xdr:row>15</xdr:row>
          <xdr:rowOff>28575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50800</xdr:colOff>
      <xdr:row>5</xdr:row>
      <xdr:rowOff>104775</xdr:rowOff>
    </xdr:from>
    <xdr:to>
      <xdr:col>4</xdr:col>
      <xdr:colOff>9525</xdr:colOff>
      <xdr:row>7</xdr:row>
      <xdr:rowOff>32787</xdr:rowOff>
    </xdr:to>
    <xdr:sp macro="[0]!Macro3" textlink="">
      <xdr:nvSpPr>
        <xdr:cNvPr id="3" name="button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70000" y="1057275"/>
          <a:ext cx="1177925" cy="30901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Test</a:t>
          </a:r>
          <a:r>
            <a:rPr lang="en-US" sz="1100" baseline="0">
              <a:solidFill>
                <a:schemeClr val="tx1"/>
              </a:solidFill>
            </a:rPr>
            <a:t> animation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447676</xdr:colOff>
      <xdr:row>17</xdr:row>
      <xdr:rowOff>38099</xdr:rowOff>
    </xdr:from>
    <xdr:to>
      <xdr:col>8</xdr:col>
      <xdr:colOff>466726</xdr:colOff>
      <xdr:row>18</xdr:row>
      <xdr:rowOff>133350</xdr:rowOff>
    </xdr:to>
    <xdr:sp macro="[0]!Animation_1" textlink="">
      <xdr:nvSpPr>
        <xdr:cNvPr id="5" name="button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105276" y="3276599"/>
          <a:ext cx="1238250" cy="285751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Start animation 1</a:t>
          </a:r>
        </a:p>
      </xdr:txBody>
    </xdr:sp>
    <xdr:clientData/>
  </xdr:twoCellAnchor>
  <xdr:twoCellAnchor>
    <xdr:from>
      <xdr:col>8</xdr:col>
      <xdr:colOff>590551</xdr:colOff>
      <xdr:row>15</xdr:row>
      <xdr:rowOff>142875</xdr:rowOff>
    </xdr:from>
    <xdr:to>
      <xdr:col>9</xdr:col>
      <xdr:colOff>514350</xdr:colOff>
      <xdr:row>17</xdr:row>
      <xdr:rowOff>70887</xdr:rowOff>
    </xdr:to>
    <xdr:sp macro="[0]!stop_" textlink="">
      <xdr:nvSpPr>
        <xdr:cNvPr id="6" name="button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467351" y="3000375"/>
          <a:ext cx="533399" cy="30901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Stop</a:t>
          </a:r>
        </a:p>
      </xdr:txBody>
    </xdr:sp>
    <xdr:clientData/>
  </xdr:twoCellAnchor>
  <xdr:twoCellAnchor>
    <xdr:from>
      <xdr:col>4</xdr:col>
      <xdr:colOff>361950</xdr:colOff>
      <xdr:row>7</xdr:row>
      <xdr:rowOff>142875</xdr:rowOff>
    </xdr:from>
    <xdr:to>
      <xdr:col>6</xdr:col>
      <xdr:colOff>142875</xdr:colOff>
      <xdr:row>13</xdr:row>
      <xdr:rowOff>0</xdr:rowOff>
    </xdr:to>
    <xdr:sp macro="" textlink="">
      <xdr:nvSpPr>
        <xdr:cNvPr id="2" name="ff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226080000">
          <a:off x="2800350" y="1476375"/>
          <a:ext cx="1000125" cy="1000125"/>
        </a:xfrm>
        <a:prstGeom prst="pie">
          <a:avLst>
            <a:gd name="adj1" fmla="val 0"/>
            <a:gd name="adj2" fmla="val 187907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11</xdr:row>
          <xdr:rowOff>85725</xdr:rowOff>
        </xdr:from>
        <xdr:to>
          <xdr:col>12</xdr:col>
          <xdr:colOff>0</xdr:colOff>
          <xdr:row>15</xdr:row>
          <xdr:rowOff>28575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25</xdr:row>
          <xdr:rowOff>85725</xdr:rowOff>
        </xdr:from>
        <xdr:to>
          <xdr:col>10</xdr:col>
          <xdr:colOff>0</xdr:colOff>
          <xdr:row>29</xdr:row>
          <xdr:rowOff>28575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304800</xdr:colOff>
      <xdr:row>32</xdr:row>
      <xdr:rowOff>28575</xdr:rowOff>
    </xdr:from>
    <xdr:to>
      <xdr:col>9</xdr:col>
      <xdr:colOff>476250</xdr:colOff>
      <xdr:row>33</xdr:row>
      <xdr:rowOff>147087</xdr:rowOff>
    </xdr:to>
    <xdr:sp macro="[0]!circle_animation" textlink="">
      <xdr:nvSpPr>
        <xdr:cNvPr id="13" name="button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572000" y="6124575"/>
          <a:ext cx="1390650" cy="30901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Start animation 1</a:t>
          </a:r>
        </a:p>
      </xdr:txBody>
    </xdr:sp>
    <xdr:clientData/>
  </xdr:twoCellAnchor>
  <xdr:twoCellAnchor>
    <xdr:from>
      <xdr:col>4</xdr:col>
      <xdr:colOff>161925</xdr:colOff>
      <xdr:row>26</xdr:row>
      <xdr:rowOff>9525</xdr:rowOff>
    </xdr:from>
    <xdr:to>
      <xdr:col>6</xdr:col>
      <xdr:colOff>323850</xdr:colOff>
      <xdr:row>33</xdr:row>
      <xdr:rowOff>57150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00325" y="4972050"/>
          <a:ext cx="1381125" cy="1381125"/>
          <a:chOff x="2600325" y="4972050"/>
          <a:chExt cx="1381125" cy="1381125"/>
        </a:xfrm>
      </xdr:grpSpPr>
      <xdr:sp macro="" textlink="">
        <xdr:nvSpPr>
          <xdr:cNvPr id="4" name="ggg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600325" y="4972050"/>
            <a:ext cx="1381125" cy="1381125"/>
          </a:xfrm>
          <a:prstGeom prst="pie">
            <a:avLst>
              <a:gd name="adj1" fmla="val 17766"/>
              <a:gd name="adj2" fmla="val 17280000"/>
            </a:avLst>
          </a:prstGeom>
          <a:solidFill>
            <a:schemeClr val="accent2">
              <a:lumMod val="60000"/>
              <a:lumOff val="40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2805112" y="5176837"/>
            <a:ext cx="971550" cy="971550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304800</xdr:colOff>
      <xdr:row>52</xdr:row>
      <xdr:rowOff>133350</xdr:rowOff>
    </xdr:from>
    <xdr:to>
      <xdr:col>8</xdr:col>
      <xdr:colOff>314325</xdr:colOff>
      <xdr:row>54</xdr:row>
      <xdr:rowOff>61362</xdr:rowOff>
    </xdr:to>
    <xdr:sp macro="" textlink="">
      <xdr:nvSpPr>
        <xdr:cNvPr id="14" name="button1">
          <a:extLst>
            <a:ext uri="{FF2B5EF4-FFF2-40B4-BE49-F238E27FC236}">
              <a16:creationId xmlns:a16="http://schemas.microsoft.com/office/drawing/2014/main" id="{D27D7225-DA67-4E35-A934-A5A2B8330B60}"/>
            </a:ext>
          </a:extLst>
        </xdr:cNvPr>
        <xdr:cNvSpPr/>
      </xdr:nvSpPr>
      <xdr:spPr>
        <a:xfrm>
          <a:off x="4572000" y="10067925"/>
          <a:ext cx="942975" cy="30901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Start Clock</a:t>
          </a:r>
        </a:p>
      </xdr:txBody>
    </xdr:sp>
    <xdr:clientData/>
  </xdr:twoCellAnchor>
  <xdr:twoCellAnchor>
    <xdr:from>
      <xdr:col>4</xdr:col>
      <xdr:colOff>161925</xdr:colOff>
      <xdr:row>45</xdr:row>
      <xdr:rowOff>9525</xdr:rowOff>
    </xdr:from>
    <xdr:to>
      <xdr:col>6</xdr:col>
      <xdr:colOff>323850</xdr:colOff>
      <xdr:row>52</xdr:row>
      <xdr:rowOff>57150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24EF426-7799-47F9-B957-F1D681281239}"/>
            </a:ext>
          </a:extLst>
        </xdr:cNvPr>
        <xdr:cNvGrpSpPr/>
      </xdr:nvGrpSpPr>
      <xdr:grpSpPr>
        <a:xfrm>
          <a:off x="2600325" y="8610600"/>
          <a:ext cx="1381125" cy="1381125"/>
          <a:chOff x="2600325" y="4972050"/>
          <a:chExt cx="1381125" cy="1381125"/>
        </a:xfrm>
      </xdr:grpSpPr>
      <xdr:sp macro="" textlink="">
        <xdr:nvSpPr>
          <xdr:cNvPr id="16" name="ggg">
            <a:extLst>
              <a:ext uri="{FF2B5EF4-FFF2-40B4-BE49-F238E27FC236}">
                <a16:creationId xmlns:a16="http://schemas.microsoft.com/office/drawing/2014/main" id="{5B0C6755-E1CD-4AE5-9319-495EB809EB8E}"/>
              </a:ext>
            </a:extLst>
          </xdr:cNvPr>
          <xdr:cNvSpPr/>
        </xdr:nvSpPr>
        <xdr:spPr>
          <a:xfrm>
            <a:off x="2600325" y="4972050"/>
            <a:ext cx="1381125" cy="1381125"/>
          </a:xfrm>
          <a:prstGeom prst="pie">
            <a:avLst>
              <a:gd name="adj1" fmla="val 17766"/>
              <a:gd name="adj2" fmla="val 17280000"/>
            </a:avLst>
          </a:prstGeom>
          <a:solidFill>
            <a:schemeClr val="accent2">
              <a:lumMod val="60000"/>
              <a:lumOff val="40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7" name="Oval 16">
            <a:extLst>
              <a:ext uri="{FF2B5EF4-FFF2-40B4-BE49-F238E27FC236}">
                <a16:creationId xmlns:a16="http://schemas.microsoft.com/office/drawing/2014/main" id="{D37A9168-B52D-472B-99F2-245B85070CFD}"/>
              </a:ext>
            </a:extLst>
          </xdr:cNvPr>
          <xdr:cNvSpPr/>
        </xdr:nvSpPr>
        <xdr:spPr>
          <a:xfrm>
            <a:off x="2805112" y="5176837"/>
            <a:ext cx="971550" cy="971550"/>
          </a:xfrm>
          <a:prstGeom prst="ellipse">
            <a:avLst/>
          </a:prstGeom>
          <a:solidFill>
            <a:schemeClr val="bg1">
              <a:lumMod val="9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371475</xdr:colOff>
      <xdr:row>52</xdr:row>
      <xdr:rowOff>123825</xdr:rowOff>
    </xdr:from>
    <xdr:to>
      <xdr:col>10</xdr:col>
      <xdr:colOff>95250</xdr:colOff>
      <xdr:row>54</xdr:row>
      <xdr:rowOff>51837</xdr:rowOff>
    </xdr:to>
    <xdr:sp macro="" textlink="">
      <xdr:nvSpPr>
        <xdr:cNvPr id="18" name="button1">
          <a:extLst>
            <a:ext uri="{FF2B5EF4-FFF2-40B4-BE49-F238E27FC236}">
              <a16:creationId xmlns:a16="http://schemas.microsoft.com/office/drawing/2014/main" id="{424DB31F-5A85-45C7-819B-808E5DEB00B9}"/>
            </a:ext>
          </a:extLst>
        </xdr:cNvPr>
        <xdr:cNvSpPr/>
      </xdr:nvSpPr>
      <xdr:spPr>
        <a:xfrm>
          <a:off x="5572125" y="10058400"/>
          <a:ext cx="942975" cy="30901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Stop</a:t>
          </a:r>
        </a:p>
      </xdr:txBody>
    </xdr:sp>
    <xdr:clientData/>
  </xdr:twoCellAnchor>
  <xdr:twoCellAnchor editAs="oneCell">
    <xdr:from>
      <xdr:col>12</xdr:col>
      <xdr:colOff>304800</xdr:colOff>
      <xdr:row>44</xdr:row>
      <xdr:rowOff>40640</xdr:rowOff>
    </xdr:from>
    <xdr:to>
      <xdr:col>13</xdr:col>
      <xdr:colOff>1609725</xdr:colOff>
      <xdr:row>54</xdr:row>
      <xdr:rowOff>50165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7C67507-4CCB-4797-B8FB-1D3CDC1C0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43850" y="8451215"/>
          <a:ext cx="1914525" cy="1914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47</xdr:row>
          <xdr:rowOff>85725</xdr:rowOff>
        </xdr:from>
        <xdr:to>
          <xdr:col>8</xdr:col>
          <xdr:colOff>495300</xdr:colOff>
          <xdr:row>51</xdr:row>
          <xdr:rowOff>28575</xdr:rowOff>
        </xdr:to>
        <xdr:sp macro="" textlink="">
          <xdr:nvSpPr>
            <xdr:cNvPr id="1038" name="Spinner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FA34DB5C-28A2-47C6-BC8E-B1DC3090C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647699</xdr:colOff>
      <xdr:row>45</xdr:row>
      <xdr:rowOff>142875</xdr:rowOff>
    </xdr:from>
    <xdr:to>
      <xdr:col>13</xdr:col>
      <xdr:colOff>647699</xdr:colOff>
      <xdr:row>49</xdr:row>
      <xdr:rowOff>47626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E81D9CC8-95E3-409F-92D6-8B332A65097D}"/>
            </a:ext>
          </a:extLst>
        </xdr:cNvPr>
        <xdr:cNvCxnSpPr/>
      </xdr:nvCxnSpPr>
      <xdr:spPr>
        <a:xfrm flipV="1">
          <a:off x="8896349" y="8743950"/>
          <a:ext cx="0" cy="666751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647700</xdr:colOff>
      <xdr:row>49</xdr:row>
      <xdr:rowOff>47625</xdr:rowOff>
    </xdr:from>
    <xdr:to>
      <xdr:col>13</xdr:col>
      <xdr:colOff>647700</xdr:colOff>
      <xdr:row>52</xdr:row>
      <xdr:rowOff>142876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3ADEDD2C-0AA2-479E-BB02-43B474E2A5D3}"/>
            </a:ext>
          </a:extLst>
        </xdr:cNvPr>
        <xdr:cNvCxnSpPr/>
      </xdr:nvCxnSpPr>
      <xdr:spPr>
        <a:xfrm rot="10800000" flipV="1">
          <a:off x="8896350" y="9410700"/>
          <a:ext cx="0" cy="666751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F851D-1C66-494B-84AA-FFE0C586A8A2}">
  <sheetPr codeName="Sheet1"/>
  <dimension ref="E11:N57"/>
  <sheetViews>
    <sheetView tabSelected="1" topLeftCell="A35" workbookViewId="0">
      <selection activeCell="H62" sqref="H62"/>
    </sheetView>
  </sheetViews>
  <sheetFormatPr defaultRowHeight="15" x14ac:dyDescent="0.25"/>
  <cols>
    <col min="1" max="7" width="9.140625" style="1"/>
    <col min="8" max="8" width="14" style="1" customWidth="1"/>
    <col min="9" max="13" width="9.140625" style="1"/>
    <col min="14" max="14" width="25" style="1" customWidth="1"/>
    <col min="15" max="16384" width="9.140625" style="1"/>
  </cols>
  <sheetData>
    <row r="11" spans="9:12" x14ac:dyDescent="0.25">
      <c r="I11" s="16" t="s">
        <v>0</v>
      </c>
      <c r="J11" s="16"/>
      <c r="K11" s="16" t="s">
        <v>0</v>
      </c>
      <c r="L11" s="16"/>
    </row>
    <row r="13" spans="9:12" x14ac:dyDescent="0.25">
      <c r="K13" s="1">
        <v>5.0000000000000001E-3</v>
      </c>
    </row>
    <row r="14" spans="9:12" x14ac:dyDescent="0.25">
      <c r="I14" s="1">
        <v>6</v>
      </c>
      <c r="K14" s="1">
        <v>2</v>
      </c>
    </row>
    <row r="15" spans="9:12" x14ac:dyDescent="0.25">
      <c r="K15" s="1">
        <f>K13*K14</f>
        <v>0.01</v>
      </c>
    </row>
    <row r="17" spans="5:14" x14ac:dyDescent="0.25">
      <c r="I17" s="1" t="s">
        <v>5</v>
      </c>
    </row>
    <row r="19" spans="5:14" x14ac:dyDescent="0.25">
      <c r="N19" s="1">
        <f>360/100</f>
        <v>3.6</v>
      </c>
    </row>
    <row r="22" spans="5:14" ht="15.75" thickBot="1" x14ac:dyDescent="0.3"/>
    <row r="23" spans="5:14" x14ac:dyDescent="0.25">
      <c r="E23" s="2"/>
      <c r="F23" s="3"/>
      <c r="G23" s="3"/>
      <c r="H23" s="3"/>
      <c r="I23" s="3"/>
      <c r="J23" s="3"/>
      <c r="K23" s="3"/>
      <c r="L23" s="3"/>
      <c r="M23" s="3"/>
      <c r="N23" s="4"/>
    </row>
    <row r="24" spans="5:14" x14ac:dyDescent="0.25">
      <c r="E24" s="5"/>
      <c r="F24" s="6"/>
      <c r="G24" s="6"/>
      <c r="H24" s="6"/>
      <c r="I24" s="6"/>
      <c r="J24" s="6"/>
      <c r="K24" s="6"/>
      <c r="L24" s="6"/>
      <c r="M24" s="6"/>
      <c r="N24" s="7"/>
    </row>
    <row r="25" spans="5:14" x14ac:dyDescent="0.25">
      <c r="E25" s="5"/>
      <c r="F25" s="6"/>
      <c r="G25" s="6"/>
      <c r="H25" s="6"/>
      <c r="I25" s="8" t="s">
        <v>0</v>
      </c>
      <c r="J25" s="8"/>
      <c r="K25" s="8"/>
      <c r="L25" s="8"/>
      <c r="M25" s="6"/>
      <c r="N25" s="7"/>
    </row>
    <row r="26" spans="5:14" x14ac:dyDescent="0.25">
      <c r="E26" s="5"/>
      <c r="F26" s="6"/>
      <c r="G26" s="6"/>
      <c r="H26" s="6" t="s">
        <v>3</v>
      </c>
      <c r="I26" s="12" t="str">
        <f>FIXED(I27 * 3.6,0)</f>
        <v>108</v>
      </c>
      <c r="J26" s="14">
        <v>0</v>
      </c>
      <c r="K26" s="6"/>
      <c r="L26" s="6"/>
      <c r="M26" s="6"/>
      <c r="N26" s="7"/>
    </row>
    <row r="27" spans="5:14" x14ac:dyDescent="0.25">
      <c r="E27" s="5"/>
      <c r="F27" s="6"/>
      <c r="G27" s="6"/>
      <c r="H27" s="6" t="s">
        <v>2</v>
      </c>
      <c r="I27" s="13">
        <v>30</v>
      </c>
      <c r="J27" s="6" t="s">
        <v>4</v>
      </c>
      <c r="K27" s="6"/>
      <c r="L27" s="6"/>
      <c r="M27" s="6"/>
      <c r="N27" s="7"/>
    </row>
    <row r="28" spans="5:14" x14ac:dyDescent="0.25">
      <c r="E28" s="5"/>
      <c r="F28" s="6"/>
      <c r="G28" s="6"/>
      <c r="H28" s="6"/>
      <c r="I28" s="6"/>
      <c r="J28" s="6"/>
      <c r="K28" s="6"/>
      <c r="L28" s="6"/>
      <c r="M28" s="6"/>
      <c r="N28" s="7"/>
    </row>
    <row r="29" spans="5:14" x14ac:dyDescent="0.25">
      <c r="E29" s="5"/>
      <c r="F29" s="6"/>
      <c r="G29" s="6"/>
      <c r="H29" s="6">
        <v>1555</v>
      </c>
      <c r="I29" s="13">
        <f>--IF(AND(--I26&gt;0,I27 &gt; 50),  -( 180-(I26-180)), I26)</f>
        <v>108</v>
      </c>
      <c r="J29" s="6"/>
      <c r="K29" s="6"/>
      <c r="L29" s="6"/>
      <c r="M29" s="6"/>
      <c r="N29" s="7"/>
    </row>
    <row r="30" spans="5:14" x14ac:dyDescent="0.25">
      <c r="E30" s="5"/>
      <c r="F30" s="6"/>
      <c r="G30" s="6"/>
      <c r="H30" s="6"/>
      <c r="I30" s="15"/>
      <c r="J30" s="6"/>
      <c r="K30" s="6"/>
      <c r="L30" s="6"/>
      <c r="M30" s="6"/>
      <c r="N30" s="7"/>
    </row>
    <row r="31" spans="5:14" x14ac:dyDescent="0.25">
      <c r="E31" s="5"/>
      <c r="F31" s="6"/>
      <c r="G31" s="6"/>
      <c r="H31" s="6"/>
      <c r="I31" s="6" t="s">
        <v>1</v>
      </c>
      <c r="J31" s="6"/>
      <c r="K31" s="6"/>
      <c r="L31" s="6" t="b">
        <f>I29 &gt; 1</f>
        <v>1</v>
      </c>
      <c r="M31" s="6"/>
      <c r="N31" s="7"/>
    </row>
    <row r="32" spans="5:14" x14ac:dyDescent="0.25">
      <c r="E32" s="5"/>
      <c r="F32" s="6"/>
      <c r="G32" s="6"/>
      <c r="H32" s="6"/>
      <c r="I32" s="6"/>
      <c r="J32" s="6"/>
      <c r="K32" s="6"/>
      <c r="L32" s="6"/>
      <c r="M32" s="6"/>
      <c r="N32" s="7"/>
    </row>
    <row r="33" spans="5:14" x14ac:dyDescent="0.25">
      <c r="E33" s="5"/>
      <c r="F33" s="6"/>
      <c r="G33" s="6"/>
      <c r="H33" s="6"/>
      <c r="I33" s="6"/>
      <c r="J33" s="6"/>
      <c r="K33" s="6"/>
      <c r="L33" s="6"/>
      <c r="M33" s="6"/>
      <c r="N33" s="7"/>
    </row>
    <row r="34" spans="5:14" x14ac:dyDescent="0.25">
      <c r="E34" s="5"/>
      <c r="F34" s="6"/>
      <c r="G34" s="6"/>
      <c r="H34" s="6"/>
      <c r="I34" s="6"/>
      <c r="J34" s="6"/>
      <c r="K34" s="6"/>
      <c r="L34" s="6"/>
      <c r="M34" s="6"/>
      <c r="N34" s="7"/>
    </row>
    <row r="35" spans="5:14" x14ac:dyDescent="0.25">
      <c r="E35" s="5"/>
      <c r="F35" s="6"/>
      <c r="G35" s="6"/>
      <c r="H35" s="6"/>
      <c r="I35" s="6"/>
      <c r="J35" s="6"/>
      <c r="K35" s="6"/>
      <c r="L35" s="6"/>
      <c r="M35" s="6"/>
      <c r="N35" s="7"/>
    </row>
    <row r="36" spans="5:14" x14ac:dyDescent="0.25">
      <c r="E36" s="5"/>
      <c r="F36" s="6"/>
      <c r="G36" s="6"/>
      <c r="H36" s="6"/>
      <c r="I36" s="6"/>
      <c r="J36" s="6"/>
      <c r="K36" s="6"/>
      <c r="L36" s="6"/>
      <c r="M36" s="6"/>
      <c r="N36" s="7"/>
    </row>
    <row r="37" spans="5:14" x14ac:dyDescent="0.25">
      <c r="E37" s="5"/>
      <c r="F37" s="6"/>
      <c r="G37" s="6"/>
      <c r="H37" s="6"/>
      <c r="I37" s="6"/>
      <c r="J37" s="6"/>
      <c r="K37" s="6"/>
      <c r="L37" s="6"/>
      <c r="M37" s="6"/>
      <c r="N37" s="7"/>
    </row>
    <row r="38" spans="5:14" ht="15.75" thickBot="1" x14ac:dyDescent="0.3">
      <c r="E38" s="9"/>
      <c r="F38" s="10"/>
      <c r="G38" s="10"/>
      <c r="H38" s="10"/>
      <c r="I38" s="10"/>
      <c r="J38" s="10"/>
      <c r="K38" s="10"/>
      <c r="L38" s="10"/>
      <c r="M38" s="10"/>
      <c r="N38" s="11"/>
    </row>
    <row r="41" spans="5:14" ht="15.75" thickBot="1" x14ac:dyDescent="0.3"/>
    <row r="42" spans="5:14" x14ac:dyDescent="0.25">
      <c r="E42" s="2"/>
      <c r="F42" s="3"/>
      <c r="G42" s="3"/>
      <c r="H42" s="3"/>
      <c r="I42" s="3"/>
      <c r="J42" s="3"/>
      <c r="K42" s="3"/>
      <c r="L42" s="3"/>
      <c r="M42" s="3"/>
      <c r="N42" s="4"/>
    </row>
    <row r="43" spans="5:14" x14ac:dyDescent="0.25">
      <c r="E43" s="5"/>
      <c r="F43" s="6"/>
      <c r="G43" s="6"/>
      <c r="H43" s="6"/>
      <c r="I43" s="6"/>
      <c r="J43" s="6"/>
      <c r="K43" s="6"/>
      <c r="L43" s="6"/>
      <c r="M43" s="6"/>
      <c r="N43" s="7"/>
    </row>
    <row r="44" spans="5:14" x14ac:dyDescent="0.25">
      <c r="E44" s="5"/>
      <c r="F44" s="6"/>
      <c r="G44" s="6"/>
      <c r="H44" s="21"/>
      <c r="I44" s="22" t="s">
        <v>7</v>
      </c>
      <c r="J44" s="22" t="s">
        <v>10</v>
      </c>
      <c r="K44" s="22" t="s">
        <v>11</v>
      </c>
      <c r="L44" s="8"/>
      <c r="M44" s="6"/>
      <c r="N44" s="7"/>
    </row>
    <row r="45" spans="5:14" x14ac:dyDescent="0.25">
      <c r="E45" s="5"/>
      <c r="F45" s="6"/>
      <c r="G45" s="6"/>
      <c r="H45" s="20" t="s">
        <v>9</v>
      </c>
      <c r="I45" s="18">
        <f>--IF(AND(--I46&gt;0,I47 &gt; 30),  -( 180-(I46-180)), I46)</f>
        <v>-114</v>
      </c>
      <c r="J45" s="18">
        <f>--IF(AND(--J46&gt;0,J47 &gt; 30),  -( 180-(J46-180)), J46)</f>
        <v>-114</v>
      </c>
      <c r="K45" s="18">
        <f>--IF(AND(--K46&gt;0,K47 &gt; 30),  -( 180-(K46-180)), K46)</f>
        <v>-114</v>
      </c>
      <c r="L45" s="17"/>
      <c r="M45" s="17"/>
      <c r="N45" s="7"/>
    </row>
    <row r="46" spans="5:14" x14ac:dyDescent="0.25">
      <c r="E46" s="5"/>
      <c r="F46" s="6"/>
      <c r="G46" s="6"/>
      <c r="H46" s="20" t="s">
        <v>8</v>
      </c>
      <c r="I46" s="17" t="str">
        <f>FIXED(I47 * 6,0)</f>
        <v>246</v>
      </c>
      <c r="J46" s="17" t="str">
        <f>FIXED(J47 * 6,0)</f>
        <v>246</v>
      </c>
      <c r="K46" s="17" t="str">
        <f>FIXED(K47 * 6,0)</f>
        <v>246</v>
      </c>
      <c r="L46" s="17"/>
      <c r="M46" s="17"/>
      <c r="N46" s="7"/>
    </row>
    <row r="47" spans="5:14" x14ac:dyDescent="0.25">
      <c r="E47" s="5"/>
      <c r="F47" s="6"/>
      <c r="G47" s="6"/>
      <c r="H47" s="20" t="s">
        <v>6</v>
      </c>
      <c r="I47" s="18">
        <v>41</v>
      </c>
      <c r="J47" s="18">
        <v>41</v>
      </c>
      <c r="K47" s="18">
        <v>41</v>
      </c>
      <c r="L47" s="17"/>
      <c r="M47" s="17"/>
      <c r="N47" s="7"/>
    </row>
    <row r="48" spans="5:14" x14ac:dyDescent="0.25">
      <c r="E48" s="5"/>
      <c r="F48" s="6"/>
      <c r="G48" s="6"/>
      <c r="J48" s="17"/>
      <c r="K48" s="17"/>
      <c r="L48" s="17"/>
      <c r="M48" s="17"/>
      <c r="N48" s="7"/>
    </row>
    <row r="49" spans="5:14" x14ac:dyDescent="0.25">
      <c r="E49" s="5"/>
      <c r="F49" s="6"/>
      <c r="G49" s="6"/>
      <c r="H49" s="23"/>
      <c r="I49" s="19"/>
      <c r="J49" s="17"/>
      <c r="K49" s="17"/>
      <c r="L49" s="17"/>
      <c r="M49" s="17"/>
      <c r="N49" s="7"/>
    </row>
    <row r="50" spans="5:14" x14ac:dyDescent="0.25">
      <c r="E50" s="5"/>
      <c r="F50" s="6"/>
      <c r="G50" s="6"/>
      <c r="H50" s="6"/>
      <c r="I50" s="6"/>
      <c r="J50" s="6"/>
      <c r="K50" s="6"/>
      <c r="L50" s="6"/>
      <c r="M50" s="6"/>
      <c r="N50" s="7"/>
    </row>
    <row r="51" spans="5:14" x14ac:dyDescent="0.25">
      <c r="E51" s="5"/>
      <c r="F51" s="6"/>
      <c r="G51" s="6"/>
      <c r="H51" s="6"/>
      <c r="I51" s="6"/>
      <c r="J51" s="6"/>
      <c r="K51" s="6"/>
      <c r="L51" s="6"/>
      <c r="M51" s="6"/>
      <c r="N51" s="7"/>
    </row>
    <row r="52" spans="5:14" x14ac:dyDescent="0.25">
      <c r="E52" s="5"/>
      <c r="F52" s="6"/>
      <c r="G52" s="6"/>
      <c r="H52" s="6"/>
      <c r="I52" s="6"/>
      <c r="J52" s="6"/>
      <c r="K52" s="6"/>
      <c r="L52" s="6"/>
      <c r="M52" s="6"/>
      <c r="N52" s="7"/>
    </row>
    <row r="53" spans="5:14" x14ac:dyDescent="0.25">
      <c r="E53" s="5"/>
      <c r="F53" s="6"/>
      <c r="G53" s="6"/>
      <c r="H53" s="6"/>
      <c r="I53" s="6"/>
      <c r="J53" s="6"/>
      <c r="K53" s="6"/>
      <c r="L53" s="6"/>
      <c r="M53" s="6"/>
      <c r="N53" s="7"/>
    </row>
    <row r="54" spans="5:14" x14ac:dyDescent="0.25">
      <c r="E54" s="5"/>
      <c r="F54" s="6"/>
      <c r="G54" s="6"/>
      <c r="H54" s="6"/>
      <c r="I54" s="6"/>
      <c r="J54" s="6"/>
      <c r="K54" s="6"/>
      <c r="L54" s="6"/>
      <c r="M54" s="6"/>
      <c r="N54" s="7"/>
    </row>
    <row r="55" spans="5:14" x14ac:dyDescent="0.25">
      <c r="E55" s="5"/>
      <c r="F55" s="6"/>
      <c r="G55" s="6"/>
      <c r="H55" s="6"/>
      <c r="I55" s="6"/>
      <c r="J55" s="6"/>
      <c r="K55" s="6"/>
      <c r="L55" s="6"/>
      <c r="M55" s="6"/>
      <c r="N55" s="7"/>
    </row>
    <row r="56" spans="5:14" x14ac:dyDescent="0.25">
      <c r="E56" s="5"/>
      <c r="F56" s="6"/>
      <c r="G56" s="6"/>
      <c r="H56" s="6"/>
      <c r="I56" s="6"/>
      <c r="J56" s="6"/>
      <c r="K56" s="6"/>
      <c r="L56" s="6"/>
      <c r="M56" s="6"/>
      <c r="N56" s="7"/>
    </row>
    <row r="57" spans="5:14" ht="15.75" thickBot="1" x14ac:dyDescent="0.3">
      <c r="E57" s="9"/>
      <c r="F57" s="10"/>
      <c r="G57" s="10"/>
      <c r="H57" s="10"/>
      <c r="I57" s="10"/>
      <c r="J57" s="10"/>
      <c r="K57" s="10"/>
      <c r="L57" s="10"/>
      <c r="M57" s="10"/>
      <c r="N57" s="11"/>
    </row>
  </sheetData>
  <mergeCells count="2">
    <mergeCell ref="I11:J11"/>
    <mergeCell ref="K11:L1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9</xdr:col>
                    <xdr:colOff>266700</xdr:colOff>
                    <xdr:row>11</xdr:row>
                    <xdr:rowOff>85725</xdr:rowOff>
                  </from>
                  <to>
                    <xdr:col>10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pinner 3">
              <controlPr defaultSize="0" autoPict="0">
                <anchor moveWithCells="1" sizeWithCells="1">
                  <from>
                    <xdr:col>11</xdr:col>
                    <xdr:colOff>266700</xdr:colOff>
                    <xdr:row>11</xdr:row>
                    <xdr:rowOff>85725</xdr:rowOff>
                  </from>
                  <to>
                    <xdr:col>12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pinner 5">
              <controlPr defaultSize="0" autoPict="0">
                <anchor moveWithCells="1" sizeWithCells="1">
                  <from>
                    <xdr:col>9</xdr:col>
                    <xdr:colOff>266700</xdr:colOff>
                    <xdr:row>25</xdr:row>
                    <xdr:rowOff>85725</xdr:rowOff>
                  </from>
                  <to>
                    <xdr:col>10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Spinner 14">
              <controlPr defaultSize="0" autoPict="0">
                <anchor moveWithCells="1" sizeWithCells="1">
                  <from>
                    <xdr:col>8</xdr:col>
                    <xdr:colOff>152400</xdr:colOff>
                    <xdr:row>47</xdr:row>
                    <xdr:rowOff>85725</xdr:rowOff>
                  </from>
                  <to>
                    <xdr:col>8</xdr:col>
                    <xdr:colOff>495300</xdr:colOff>
                    <xdr:row>51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Mamun</dc:creator>
  <cp:lastModifiedBy>Mamun</cp:lastModifiedBy>
  <dcterms:created xsi:type="dcterms:W3CDTF">2020-04-20T01:23:08Z</dcterms:created>
  <dcterms:modified xsi:type="dcterms:W3CDTF">2020-04-28T07:05:47Z</dcterms:modified>
</cp:coreProperties>
</file>